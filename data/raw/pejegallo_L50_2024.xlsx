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9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1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9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3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4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5ee01c94b51526/Desktop/Seminario de Investigacion/Set de datos/"/>
    </mc:Choice>
  </mc:AlternateContent>
  <xr:revisionPtr revIDLastSave="30953" documentId="13_ncr:1_{92DC43AB-32E2-4100-B039-A7FFF92EDF98}" xr6:coauthVersionLast="47" xr6:coauthVersionMax="47" xr10:uidLastSave="{4D177C39-220A-4E4F-B5A4-514217D52761}"/>
  <bookViews>
    <workbookView xWindow="20" yWindow="870" windowWidth="19180" windowHeight="9120" tabRatio="760" firstSheet="9" activeTab="10" xr2:uid="{5B648D69-CCA8-48E0-B6F5-8D112E88814E}"/>
  </bookViews>
  <sheets>
    <sheet name="Todos" sheetId="40" r:id="rId1"/>
    <sheet name="K-S con LT" sheetId="6" r:id="rId2"/>
    <sheet name="K-S con Precaudal" sheetId="9" r:id="rId3"/>
    <sheet name="Machos" sheetId="2" r:id="rId4"/>
    <sheet name="Hembras" sheetId="1" r:id="rId5"/>
    <sheet name="GOMPERTZ L50 Machos LT" sheetId="8" r:id="rId6"/>
    <sheet name="GOMPERTZ L50 Hembras LT" sheetId="5" r:id="rId7"/>
    <sheet name="GOMPERTZ L50 Machos Precaudal" sheetId="11" r:id="rId8"/>
    <sheet name="GOMPERTZ L50 Hembras Precaudal" sheetId="10" r:id="rId9"/>
    <sheet name="RICHARDS L50 Machos LT" sheetId="12" r:id="rId10"/>
    <sheet name="RICHARDS L50 Hembras LT" sheetId="13" r:id="rId11"/>
    <sheet name="RICHARDS L50 Machos Precaudal" sheetId="14" r:id="rId12"/>
    <sheet name="RICHARDS L50 Hembras Precaudal" sheetId="15" r:id="rId13"/>
    <sheet name="LYSACK L50 Machos LT" sheetId="16" r:id="rId14"/>
    <sheet name="LYSACK L50 Hembras LT" sheetId="17" r:id="rId15"/>
    <sheet name="LYSACK L50 Machos Precaudal" sheetId="18" r:id="rId16"/>
    <sheet name="LYSACK L50 Hembras Precaudal" sheetId="19" r:id="rId17"/>
    <sheet name="White etal. L50 Machos LT" sheetId="20" r:id="rId18"/>
    <sheet name="White etal. L50 Hembras LT" sheetId="21" r:id="rId19"/>
    <sheet name="White etal. L50 Machos Precauda" sheetId="22" r:id="rId20"/>
    <sheet name="White etal. L50 Hembras Precaud" sheetId="23" r:id="rId21"/>
    <sheet name="BG L50 Machos LT" sheetId="24" r:id="rId22"/>
    <sheet name="BG L50 Hembras LT" sheetId="25" r:id="rId23"/>
    <sheet name="BG L50 Machos Precaudal" sheetId="26" r:id="rId24"/>
    <sheet name="BG L50 Hembras Precaudal" sheetId="27" r:id="rId25"/>
    <sheet name="Bakha L50 Machos LT" sheetId="32" r:id="rId26"/>
    <sheet name="Bakha L50 Hembras LT" sheetId="33" r:id="rId27"/>
    <sheet name="Bakha L50 Machos Precaudal" sheetId="34" r:id="rId28"/>
    <sheet name="Bakha L50 Hembras Precaudal" sheetId="35" r:id="rId29"/>
    <sheet name="King L50 Machos LT" sheetId="45" r:id="rId30"/>
    <sheet name="King L50 Hembras LT" sheetId="46" r:id="rId31"/>
    <sheet name="King L50 Machos Precaudal" sheetId="47" r:id="rId32"/>
    <sheet name="King L50 Hembras Precaudal" sheetId="48" r:id="rId33"/>
    <sheet name="CCMs Observaciones" sheetId="3" r:id="rId34"/>
  </sheets>
  <definedNames>
    <definedName name="_xlnm._FilterDatabase" localSheetId="4" hidden="1">Hembras!$A$4:$AH$204</definedName>
    <definedName name="_xlnm._FilterDatabase" localSheetId="3" hidden="1">Machos!$A$4:$AH$379</definedName>
    <definedName name="solver_adj" localSheetId="26" hidden="1">'Bakha L50 Hembras LT'!$B$3:$B$4</definedName>
    <definedName name="solver_adj" localSheetId="28" hidden="1">'Bakha L50 Hembras Precaudal'!$B$3:$B$4</definedName>
    <definedName name="solver_adj" localSheetId="25" hidden="1">'Bakha L50 Machos LT'!$B$3:$B$4</definedName>
    <definedName name="solver_adj" localSheetId="27" hidden="1">'Bakha L50 Machos Precaudal'!$B$3:$B$5</definedName>
    <definedName name="solver_adj" localSheetId="22" hidden="1">'BG L50 Hembras LT'!$B$3:$B$4</definedName>
    <definedName name="solver_adj" localSheetId="24" hidden="1">'BG L50 Hembras Precaudal'!$B$3:$B$4</definedName>
    <definedName name="solver_adj" localSheetId="21" hidden="1">'BG L50 Machos LT'!$B$3:$B$4</definedName>
    <definedName name="solver_adj" localSheetId="23" hidden="1">'BG L50 Machos Precaudal'!$B$3:$B$4</definedName>
    <definedName name="solver_adj" localSheetId="6" hidden="1">'GOMPERTZ L50 Hembras LT'!$B$3:$B$4</definedName>
    <definedName name="solver_adj" localSheetId="8" hidden="1">'GOMPERTZ L50 Hembras Precaudal'!$B$3:$B$4</definedName>
    <definedName name="solver_adj" localSheetId="5" hidden="1">'GOMPERTZ L50 Machos LT'!$B$3:$B$4</definedName>
    <definedName name="solver_adj" localSheetId="7" hidden="1">'GOMPERTZ L50 Machos Precaudal'!$B$3:$B$4</definedName>
    <definedName name="solver_adj" localSheetId="30" hidden="1">'King L50 Hembras LT'!$B$3:$B$4</definedName>
    <definedName name="solver_adj" localSheetId="32" hidden="1">'King L50 Hembras Precaudal'!$B$3:$B$4</definedName>
    <definedName name="solver_adj" localSheetId="29" hidden="1">'King L50 Machos LT'!$B$3:$B$4</definedName>
    <definedName name="solver_adj" localSheetId="31" hidden="1">'King L50 Machos Precaudal'!$B$3:$B$4</definedName>
    <definedName name="solver_adj" localSheetId="14" hidden="1">'LYSACK L50 Hembras LT'!$B$3:$B$4</definedName>
    <definedName name="solver_adj" localSheetId="16" hidden="1">'LYSACK L50 Hembras Precaudal'!$B$3:$B$4</definedName>
    <definedName name="solver_adj" localSheetId="13" hidden="1">'LYSACK L50 Machos LT'!$B$3:$B$4</definedName>
    <definedName name="solver_adj" localSheetId="15" hidden="1">'LYSACK L50 Machos Precaudal'!$B$3:$B$4</definedName>
    <definedName name="solver_adj" localSheetId="10" hidden="1">'RICHARDS L50 Hembras LT'!$B$3:$B$5</definedName>
    <definedName name="solver_adj" localSheetId="12" hidden="1">'RICHARDS L50 Hembras Precaudal'!$B$4:$B$5</definedName>
    <definedName name="solver_adj" localSheetId="9" hidden="1">'RICHARDS L50 Machos LT'!$B$3:$B$5</definedName>
    <definedName name="solver_adj" localSheetId="11" hidden="1">'RICHARDS L50 Machos Precaudal'!$B$3:$B$5</definedName>
    <definedName name="solver_adj" localSheetId="18" hidden="1">'White etal. L50 Hembras LT'!$B$3:$B$4</definedName>
    <definedName name="solver_adj" localSheetId="20" hidden="1">'White etal. L50 Hembras Precaud'!$B$3:$B$4</definedName>
    <definedName name="solver_adj" localSheetId="17" hidden="1">'White etal. L50 Machos LT'!$B$3:$B$4</definedName>
    <definedName name="solver_adj" localSheetId="19" hidden="1">'White etal. L50 Machos Precauda'!$B$3:$B$4</definedName>
    <definedName name="solver_cvg" localSheetId="26" hidden="1">"""""""0.0001"""""""</definedName>
    <definedName name="solver_cvg" localSheetId="28" hidden="1">"0.0001"</definedName>
    <definedName name="solver_cvg" localSheetId="25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27" hidden="1">"0.0001"</definedName>
    <definedName name="solver_cvg" localSheetId="22" hidden="1">"""""""""""""""0.0001"""""""""""""""</definedName>
    <definedName name="solver_cvg" localSheetId="24" hidden="1">"""""""0.0001"""""""</definedName>
    <definedName name="solver_cvg" localSheetId="21" hidden="1">"""""""""""""""""""""""""""""""""""""""""""""""""""""""""""""""0.0001"""""""""""""""""""""""""""""""""""""""""""""""""""""""""""""""</definedName>
    <definedName name="solver_cvg" localSheetId="23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30" hidden="1">"0.0001"</definedName>
    <definedName name="solver_cvg" localSheetId="32" hidden="1">"0.0001"</definedName>
    <definedName name="solver_cvg" localSheetId="29" hidden="1">"0.0001"</definedName>
    <definedName name="solver_cvg" localSheetId="31" hidden="1">"0.0001"</definedName>
    <definedName name="solver_cvg" localSheetId="14" hidden="1">"""0.0001"""</definedName>
    <definedName name="solver_cvg" localSheetId="16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3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5" hidden="1">"""0.0001"""</definedName>
    <definedName name="solver_cvg" localSheetId="10" hidden="1">"""""""""""""""0.0001"""""""""""""""</definedName>
    <definedName name="solver_cvg" localSheetId="12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1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8" hidden="1">"""""""""""""""""""""""""""""""""""""""""""""""""""""""""""""""0.0001"""""""""""""""""""""""""""""""""""""""""""""""""""""""""""""""</definedName>
    <definedName name="solver_cvg" localSheetId="20" hidden="1">"""""""""""""""0.0001"""""""""""""""</definedName>
    <definedName name="solver_cvg" localSheetId="17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9" hidden="1">"""0.0001"""</definedName>
    <definedName name="solver_drv" localSheetId="26" hidden="1">2</definedName>
    <definedName name="solver_drv" localSheetId="28" hidden="1">1</definedName>
    <definedName name="solver_drv" localSheetId="25" hidden="1">1</definedName>
    <definedName name="solver_drv" localSheetId="27" hidden="1">1</definedName>
    <definedName name="solver_drv" localSheetId="22" hidden="1">1</definedName>
    <definedName name="solver_drv" localSheetId="24" hidden="1">1</definedName>
    <definedName name="solver_drv" localSheetId="21" hidden="1">1</definedName>
    <definedName name="solver_drv" localSheetId="23" hidden="1">1</definedName>
    <definedName name="solver_drv" localSheetId="6" hidden="1">1</definedName>
    <definedName name="solver_drv" localSheetId="8" hidden="1">1</definedName>
    <definedName name="solver_drv" localSheetId="5" hidden="1">1</definedName>
    <definedName name="solver_drv" localSheetId="7" hidden="1">1</definedName>
    <definedName name="solver_drv" localSheetId="30" hidden="1">1</definedName>
    <definedName name="solver_drv" localSheetId="32" hidden="1">1</definedName>
    <definedName name="solver_drv" localSheetId="29" hidden="1">1</definedName>
    <definedName name="solver_drv" localSheetId="31" hidden="1">1</definedName>
    <definedName name="solver_drv" localSheetId="14" hidden="1">1</definedName>
    <definedName name="solver_drv" localSheetId="16" hidden="1">1</definedName>
    <definedName name="solver_drv" localSheetId="13" hidden="1">1</definedName>
    <definedName name="solver_drv" localSheetId="15" hidden="1">1</definedName>
    <definedName name="solver_drv" localSheetId="10" hidden="1">1</definedName>
    <definedName name="solver_drv" localSheetId="12" hidden="1">1</definedName>
    <definedName name="solver_drv" localSheetId="9" hidden="1">1</definedName>
    <definedName name="solver_drv" localSheetId="11" hidden="1">1</definedName>
    <definedName name="solver_drv" localSheetId="18" hidden="1">1</definedName>
    <definedName name="solver_drv" localSheetId="20" hidden="1">1</definedName>
    <definedName name="solver_drv" localSheetId="17" hidden="1">1</definedName>
    <definedName name="solver_drv" localSheetId="19" hidden="1">1</definedName>
    <definedName name="solver_eng" localSheetId="26" hidden="1">1</definedName>
    <definedName name="solver_eng" localSheetId="28" hidden="1">1</definedName>
    <definedName name="solver_eng" localSheetId="25" hidden="1">1</definedName>
    <definedName name="solver_eng" localSheetId="27" hidden="1">1</definedName>
    <definedName name="solver_eng" localSheetId="22" hidden="1">1</definedName>
    <definedName name="solver_eng" localSheetId="24" hidden="1">1</definedName>
    <definedName name="solver_eng" localSheetId="21" hidden="1">1</definedName>
    <definedName name="solver_eng" localSheetId="23" hidden="1">1</definedName>
    <definedName name="solver_eng" localSheetId="6" hidden="1">1</definedName>
    <definedName name="solver_eng" localSheetId="8" hidden="1">1</definedName>
    <definedName name="solver_eng" localSheetId="5" hidden="1">1</definedName>
    <definedName name="solver_eng" localSheetId="7" hidden="1">1</definedName>
    <definedName name="solver_eng" localSheetId="4" hidden="1">1</definedName>
    <definedName name="solver_eng" localSheetId="30" hidden="1">1</definedName>
    <definedName name="solver_eng" localSheetId="32" hidden="1">1</definedName>
    <definedName name="solver_eng" localSheetId="29" hidden="1">1</definedName>
    <definedName name="solver_eng" localSheetId="31" hidden="1">1</definedName>
    <definedName name="solver_eng" localSheetId="14" hidden="1">1</definedName>
    <definedName name="solver_eng" localSheetId="16" hidden="1">1</definedName>
    <definedName name="solver_eng" localSheetId="13" hidden="1">1</definedName>
    <definedName name="solver_eng" localSheetId="15" hidden="1">1</definedName>
    <definedName name="solver_eng" localSheetId="10" hidden="1">1</definedName>
    <definedName name="solver_eng" localSheetId="12" hidden="1">1</definedName>
    <definedName name="solver_eng" localSheetId="9" hidden="1">1</definedName>
    <definedName name="solver_eng" localSheetId="11" hidden="1">1</definedName>
    <definedName name="solver_eng" localSheetId="18" hidden="1">1</definedName>
    <definedName name="solver_eng" localSheetId="20" hidden="1">1</definedName>
    <definedName name="solver_eng" localSheetId="17" hidden="1">1</definedName>
    <definedName name="solver_eng" localSheetId="19" hidden="1">1</definedName>
    <definedName name="solver_est" localSheetId="26" hidden="1">1</definedName>
    <definedName name="solver_est" localSheetId="28" hidden="1">1</definedName>
    <definedName name="solver_est" localSheetId="25" hidden="1">1</definedName>
    <definedName name="solver_est" localSheetId="27" hidden="1">1</definedName>
    <definedName name="solver_est" localSheetId="22" hidden="1">1</definedName>
    <definedName name="solver_est" localSheetId="24" hidden="1">1</definedName>
    <definedName name="solver_est" localSheetId="21" hidden="1">1</definedName>
    <definedName name="solver_est" localSheetId="23" hidden="1">1</definedName>
    <definedName name="solver_est" localSheetId="6" hidden="1">1</definedName>
    <definedName name="solver_est" localSheetId="8" hidden="1">1</definedName>
    <definedName name="solver_est" localSheetId="5" hidden="1">1</definedName>
    <definedName name="solver_est" localSheetId="7" hidden="1">1</definedName>
    <definedName name="solver_est" localSheetId="30" hidden="1">1</definedName>
    <definedName name="solver_est" localSheetId="32" hidden="1">1</definedName>
    <definedName name="solver_est" localSheetId="29" hidden="1">1</definedName>
    <definedName name="solver_est" localSheetId="31" hidden="1">1</definedName>
    <definedName name="solver_est" localSheetId="14" hidden="1">1</definedName>
    <definedName name="solver_est" localSheetId="16" hidden="1">1</definedName>
    <definedName name="solver_est" localSheetId="13" hidden="1">1</definedName>
    <definedName name="solver_est" localSheetId="15" hidden="1">1</definedName>
    <definedName name="solver_est" localSheetId="10" hidden="1">1</definedName>
    <definedName name="solver_est" localSheetId="12" hidden="1">1</definedName>
    <definedName name="solver_est" localSheetId="9" hidden="1">1</definedName>
    <definedName name="solver_est" localSheetId="11" hidden="1">1</definedName>
    <definedName name="solver_est" localSheetId="18" hidden="1">1</definedName>
    <definedName name="solver_est" localSheetId="20" hidden="1">1</definedName>
    <definedName name="solver_est" localSheetId="17" hidden="1">1</definedName>
    <definedName name="solver_est" localSheetId="19" hidden="1">1</definedName>
    <definedName name="solver_itr" localSheetId="26" hidden="1">2147483647</definedName>
    <definedName name="solver_itr" localSheetId="28" hidden="1">2147483647</definedName>
    <definedName name="solver_itr" localSheetId="25" hidden="1">2147483647</definedName>
    <definedName name="solver_itr" localSheetId="27" hidden="1">2147483647</definedName>
    <definedName name="solver_itr" localSheetId="22" hidden="1">2147483647</definedName>
    <definedName name="solver_itr" localSheetId="24" hidden="1">2147483647</definedName>
    <definedName name="solver_itr" localSheetId="21" hidden="1">2147483647</definedName>
    <definedName name="solver_itr" localSheetId="23" hidden="1">2147483647</definedName>
    <definedName name="solver_itr" localSheetId="6" hidden="1">2147483647</definedName>
    <definedName name="solver_itr" localSheetId="8" hidden="1">2147483647</definedName>
    <definedName name="solver_itr" localSheetId="5" hidden="1">2147483647</definedName>
    <definedName name="solver_itr" localSheetId="7" hidden="1">2147483647</definedName>
    <definedName name="solver_itr" localSheetId="30" hidden="1">2147483647</definedName>
    <definedName name="solver_itr" localSheetId="32" hidden="1">2147483647</definedName>
    <definedName name="solver_itr" localSheetId="29" hidden="1">2147483647</definedName>
    <definedName name="solver_itr" localSheetId="31" hidden="1">2147483647</definedName>
    <definedName name="solver_itr" localSheetId="14" hidden="1">2147483647</definedName>
    <definedName name="solver_itr" localSheetId="16" hidden="1">2147483647</definedName>
    <definedName name="solver_itr" localSheetId="13" hidden="1">2147483647</definedName>
    <definedName name="solver_itr" localSheetId="15" hidden="1">2147483647</definedName>
    <definedName name="solver_itr" localSheetId="10" hidden="1">2147483647</definedName>
    <definedName name="solver_itr" localSheetId="12" hidden="1">2147483647</definedName>
    <definedName name="solver_itr" localSheetId="9" hidden="1">2147483647</definedName>
    <definedName name="solver_itr" localSheetId="11" hidden="1">2147483647</definedName>
    <definedName name="solver_itr" localSheetId="18" hidden="1">2147483647</definedName>
    <definedName name="solver_itr" localSheetId="20" hidden="1">2147483647</definedName>
    <definedName name="solver_itr" localSheetId="17" hidden="1">2147483647</definedName>
    <definedName name="solver_itr" localSheetId="19" hidden="1">2147483647</definedName>
    <definedName name="solver_mip" localSheetId="26" hidden="1">2147483647</definedName>
    <definedName name="solver_mip" localSheetId="28" hidden="1">2147483647</definedName>
    <definedName name="solver_mip" localSheetId="25" hidden="1">2147483647</definedName>
    <definedName name="solver_mip" localSheetId="27" hidden="1">2147483647</definedName>
    <definedName name="solver_mip" localSheetId="22" hidden="1">2147483647</definedName>
    <definedName name="solver_mip" localSheetId="24" hidden="1">2147483647</definedName>
    <definedName name="solver_mip" localSheetId="21" hidden="1">2147483647</definedName>
    <definedName name="solver_mip" localSheetId="23" hidden="1">2147483647</definedName>
    <definedName name="solver_mip" localSheetId="6" hidden="1">2147483647</definedName>
    <definedName name="solver_mip" localSheetId="8" hidden="1">2147483647</definedName>
    <definedName name="solver_mip" localSheetId="5" hidden="1">2147483647</definedName>
    <definedName name="solver_mip" localSheetId="7" hidden="1">2147483647</definedName>
    <definedName name="solver_mip" localSheetId="30" hidden="1">2147483647</definedName>
    <definedName name="solver_mip" localSheetId="32" hidden="1">2147483647</definedName>
    <definedName name="solver_mip" localSheetId="29" hidden="1">2147483647</definedName>
    <definedName name="solver_mip" localSheetId="31" hidden="1">2147483647</definedName>
    <definedName name="solver_mip" localSheetId="14" hidden="1">2147483647</definedName>
    <definedName name="solver_mip" localSheetId="16" hidden="1">2147483647</definedName>
    <definedName name="solver_mip" localSheetId="13" hidden="1">2147483647</definedName>
    <definedName name="solver_mip" localSheetId="15" hidden="1">2147483647</definedName>
    <definedName name="solver_mip" localSheetId="10" hidden="1">2147483647</definedName>
    <definedName name="solver_mip" localSheetId="12" hidden="1">2147483647</definedName>
    <definedName name="solver_mip" localSheetId="9" hidden="1">2147483647</definedName>
    <definedName name="solver_mip" localSheetId="11" hidden="1">2147483647</definedName>
    <definedName name="solver_mip" localSheetId="18" hidden="1">2147483647</definedName>
    <definedName name="solver_mip" localSheetId="20" hidden="1">2147483647</definedName>
    <definedName name="solver_mip" localSheetId="17" hidden="1">2147483647</definedName>
    <definedName name="solver_mip" localSheetId="19" hidden="1">2147483647</definedName>
    <definedName name="solver_mni" localSheetId="26" hidden="1">30</definedName>
    <definedName name="solver_mni" localSheetId="28" hidden="1">30</definedName>
    <definedName name="solver_mni" localSheetId="25" hidden="1">30</definedName>
    <definedName name="solver_mni" localSheetId="27" hidden="1">30</definedName>
    <definedName name="solver_mni" localSheetId="22" hidden="1">30</definedName>
    <definedName name="solver_mni" localSheetId="24" hidden="1">30</definedName>
    <definedName name="solver_mni" localSheetId="21" hidden="1">30</definedName>
    <definedName name="solver_mni" localSheetId="23" hidden="1">30</definedName>
    <definedName name="solver_mni" localSheetId="6" hidden="1">30</definedName>
    <definedName name="solver_mni" localSheetId="8" hidden="1">30</definedName>
    <definedName name="solver_mni" localSheetId="5" hidden="1">30</definedName>
    <definedName name="solver_mni" localSheetId="7" hidden="1">30</definedName>
    <definedName name="solver_mni" localSheetId="30" hidden="1">30</definedName>
    <definedName name="solver_mni" localSheetId="32" hidden="1">30</definedName>
    <definedName name="solver_mni" localSheetId="29" hidden="1">30</definedName>
    <definedName name="solver_mni" localSheetId="31" hidden="1">30</definedName>
    <definedName name="solver_mni" localSheetId="14" hidden="1">30</definedName>
    <definedName name="solver_mni" localSheetId="16" hidden="1">30</definedName>
    <definedName name="solver_mni" localSheetId="13" hidden="1">30</definedName>
    <definedName name="solver_mni" localSheetId="15" hidden="1">30</definedName>
    <definedName name="solver_mni" localSheetId="10" hidden="1">30</definedName>
    <definedName name="solver_mni" localSheetId="12" hidden="1">30</definedName>
    <definedName name="solver_mni" localSheetId="9" hidden="1">30</definedName>
    <definedName name="solver_mni" localSheetId="11" hidden="1">30</definedName>
    <definedName name="solver_mni" localSheetId="18" hidden="1">30</definedName>
    <definedName name="solver_mni" localSheetId="20" hidden="1">30</definedName>
    <definedName name="solver_mni" localSheetId="17" hidden="1">30</definedName>
    <definedName name="solver_mni" localSheetId="19" hidden="1">30</definedName>
    <definedName name="solver_mrt" localSheetId="26" hidden="1">"""""""0.075"""""""</definedName>
    <definedName name="solver_mrt" localSheetId="28" hidden="1">"0.075"</definedName>
    <definedName name="solver_mrt" localSheetId="25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27" hidden="1">"0.075"</definedName>
    <definedName name="solver_mrt" localSheetId="22" hidden="1">"""""""""""""""0.075"""""""""""""""</definedName>
    <definedName name="solver_mrt" localSheetId="24" hidden="1">"""""""0.075"""""""</definedName>
    <definedName name="solver_mrt" localSheetId="21" hidden="1">"""""""""""""""""""""""""""""""""""""""""""""""""""""""""""""""0.075"""""""""""""""""""""""""""""""""""""""""""""""""""""""""""""""</definedName>
    <definedName name="solver_mrt" localSheetId="23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30" hidden="1">"0.075"</definedName>
    <definedName name="solver_mrt" localSheetId="32" hidden="1">"0.075"</definedName>
    <definedName name="solver_mrt" localSheetId="29" hidden="1">"0.075"</definedName>
    <definedName name="solver_mrt" localSheetId="31" hidden="1">"0.075"</definedName>
    <definedName name="solver_mrt" localSheetId="14" hidden="1">"""0.075"""</definedName>
    <definedName name="solver_mrt" localSheetId="16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3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5" hidden="1">"""0.075"""</definedName>
    <definedName name="solver_mrt" localSheetId="10" hidden="1">"""""""""""""""0.075"""""""""""""""</definedName>
    <definedName name="solver_mrt" localSheetId="12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1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8" hidden="1">"""""""""""""""""""""""""""""""""""""""""""""""""""""""""""""""0.075"""""""""""""""""""""""""""""""""""""""""""""""""""""""""""""""</definedName>
    <definedName name="solver_mrt" localSheetId="20" hidden="1">"""""""""""""""0.075"""""""""""""""</definedName>
    <definedName name="solver_mrt" localSheetId="17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9" hidden="1">"""0.075"""</definedName>
    <definedName name="solver_msl" localSheetId="26" hidden="1">2</definedName>
    <definedName name="solver_msl" localSheetId="28" hidden="1">2</definedName>
    <definedName name="solver_msl" localSheetId="25" hidden="1">2</definedName>
    <definedName name="solver_msl" localSheetId="27" hidden="1">2</definedName>
    <definedName name="solver_msl" localSheetId="22" hidden="1">2</definedName>
    <definedName name="solver_msl" localSheetId="24" hidden="1">2</definedName>
    <definedName name="solver_msl" localSheetId="21" hidden="1">2</definedName>
    <definedName name="solver_msl" localSheetId="23" hidden="1">2</definedName>
    <definedName name="solver_msl" localSheetId="6" hidden="1">2</definedName>
    <definedName name="solver_msl" localSheetId="8" hidden="1">2</definedName>
    <definedName name="solver_msl" localSheetId="5" hidden="1">2</definedName>
    <definedName name="solver_msl" localSheetId="7" hidden="1">2</definedName>
    <definedName name="solver_msl" localSheetId="30" hidden="1">2</definedName>
    <definedName name="solver_msl" localSheetId="32" hidden="1">2</definedName>
    <definedName name="solver_msl" localSheetId="29" hidden="1">2</definedName>
    <definedName name="solver_msl" localSheetId="31" hidden="1">2</definedName>
    <definedName name="solver_msl" localSheetId="14" hidden="1">2</definedName>
    <definedName name="solver_msl" localSheetId="16" hidden="1">2</definedName>
    <definedName name="solver_msl" localSheetId="13" hidden="1">2</definedName>
    <definedName name="solver_msl" localSheetId="15" hidden="1">2</definedName>
    <definedName name="solver_msl" localSheetId="10" hidden="1">2</definedName>
    <definedName name="solver_msl" localSheetId="12" hidden="1">2</definedName>
    <definedName name="solver_msl" localSheetId="9" hidden="1">2</definedName>
    <definedName name="solver_msl" localSheetId="11" hidden="1">2</definedName>
    <definedName name="solver_msl" localSheetId="18" hidden="1">2</definedName>
    <definedName name="solver_msl" localSheetId="20" hidden="1">2</definedName>
    <definedName name="solver_msl" localSheetId="17" hidden="1">2</definedName>
    <definedName name="solver_msl" localSheetId="19" hidden="1">2</definedName>
    <definedName name="solver_neg" localSheetId="26" hidden="1">1</definedName>
    <definedName name="solver_neg" localSheetId="28" hidden="1">1</definedName>
    <definedName name="solver_neg" localSheetId="25" hidden="1">1</definedName>
    <definedName name="solver_neg" localSheetId="27" hidden="1">1</definedName>
    <definedName name="solver_neg" localSheetId="22" hidden="1">1</definedName>
    <definedName name="solver_neg" localSheetId="24" hidden="1">1</definedName>
    <definedName name="solver_neg" localSheetId="21" hidden="1">1</definedName>
    <definedName name="solver_neg" localSheetId="23" hidden="1">1</definedName>
    <definedName name="solver_neg" localSheetId="6" hidden="1">1</definedName>
    <definedName name="solver_neg" localSheetId="8" hidden="1">1</definedName>
    <definedName name="solver_neg" localSheetId="5" hidden="1">1</definedName>
    <definedName name="solver_neg" localSheetId="7" hidden="1">1</definedName>
    <definedName name="solver_neg" localSheetId="4" hidden="1">1</definedName>
    <definedName name="solver_neg" localSheetId="30" hidden="1">1</definedName>
    <definedName name="solver_neg" localSheetId="32" hidden="1">1</definedName>
    <definedName name="solver_neg" localSheetId="29" hidden="1">1</definedName>
    <definedName name="solver_neg" localSheetId="31" hidden="1">1</definedName>
    <definedName name="solver_neg" localSheetId="14" hidden="1">1</definedName>
    <definedName name="solver_neg" localSheetId="16" hidden="1">1</definedName>
    <definedName name="solver_neg" localSheetId="13" hidden="1">1</definedName>
    <definedName name="solver_neg" localSheetId="15" hidden="1">1</definedName>
    <definedName name="solver_neg" localSheetId="10" hidden="1">1</definedName>
    <definedName name="solver_neg" localSheetId="12" hidden="1">1</definedName>
    <definedName name="solver_neg" localSheetId="9" hidden="1">1</definedName>
    <definedName name="solver_neg" localSheetId="11" hidden="1">1</definedName>
    <definedName name="solver_neg" localSheetId="18" hidden="1">1</definedName>
    <definedName name="solver_neg" localSheetId="20" hidden="1">1</definedName>
    <definedName name="solver_neg" localSheetId="17" hidden="1">1</definedName>
    <definedName name="solver_neg" localSheetId="19" hidden="1">1</definedName>
    <definedName name="solver_nod" localSheetId="26" hidden="1">2147483647</definedName>
    <definedName name="solver_nod" localSheetId="28" hidden="1">2147483647</definedName>
    <definedName name="solver_nod" localSheetId="25" hidden="1">2147483647</definedName>
    <definedName name="solver_nod" localSheetId="27" hidden="1">2147483647</definedName>
    <definedName name="solver_nod" localSheetId="22" hidden="1">2147483647</definedName>
    <definedName name="solver_nod" localSheetId="24" hidden="1">2147483647</definedName>
    <definedName name="solver_nod" localSheetId="21" hidden="1">2147483647</definedName>
    <definedName name="solver_nod" localSheetId="23" hidden="1">2147483647</definedName>
    <definedName name="solver_nod" localSheetId="6" hidden="1">2147483647</definedName>
    <definedName name="solver_nod" localSheetId="8" hidden="1">2147483647</definedName>
    <definedName name="solver_nod" localSheetId="5" hidden="1">2147483647</definedName>
    <definedName name="solver_nod" localSheetId="7" hidden="1">2147483647</definedName>
    <definedName name="solver_nod" localSheetId="30" hidden="1">2147483647</definedName>
    <definedName name="solver_nod" localSheetId="32" hidden="1">2147483647</definedName>
    <definedName name="solver_nod" localSheetId="29" hidden="1">2147483647</definedName>
    <definedName name="solver_nod" localSheetId="31" hidden="1">2147483647</definedName>
    <definedName name="solver_nod" localSheetId="14" hidden="1">2147483647</definedName>
    <definedName name="solver_nod" localSheetId="16" hidden="1">2147483647</definedName>
    <definedName name="solver_nod" localSheetId="13" hidden="1">2147483647</definedName>
    <definedName name="solver_nod" localSheetId="15" hidden="1">2147483647</definedName>
    <definedName name="solver_nod" localSheetId="10" hidden="1">2147483647</definedName>
    <definedName name="solver_nod" localSheetId="12" hidden="1">2147483647</definedName>
    <definedName name="solver_nod" localSheetId="9" hidden="1">2147483647</definedName>
    <definedName name="solver_nod" localSheetId="11" hidden="1">2147483647</definedName>
    <definedName name="solver_nod" localSheetId="18" hidden="1">2147483647</definedName>
    <definedName name="solver_nod" localSheetId="20" hidden="1">2147483647</definedName>
    <definedName name="solver_nod" localSheetId="17" hidden="1">2147483647</definedName>
    <definedName name="solver_nod" localSheetId="19" hidden="1">2147483647</definedName>
    <definedName name="solver_num" localSheetId="26" hidden="1">0</definedName>
    <definedName name="solver_num" localSheetId="28" hidden="1">0</definedName>
    <definedName name="solver_num" localSheetId="25" hidden="1">0</definedName>
    <definedName name="solver_num" localSheetId="27" hidden="1">0</definedName>
    <definedName name="solver_num" localSheetId="22" hidden="1">0</definedName>
    <definedName name="solver_num" localSheetId="24" hidden="1">0</definedName>
    <definedName name="solver_num" localSheetId="21" hidden="1">0</definedName>
    <definedName name="solver_num" localSheetId="23" hidden="1">0</definedName>
    <definedName name="solver_num" localSheetId="6" hidden="1">0</definedName>
    <definedName name="solver_num" localSheetId="8" hidden="1">0</definedName>
    <definedName name="solver_num" localSheetId="5" hidden="1">0</definedName>
    <definedName name="solver_num" localSheetId="7" hidden="1">0</definedName>
    <definedName name="solver_num" localSheetId="4" hidden="1">0</definedName>
    <definedName name="solver_num" localSheetId="30" hidden="1">0</definedName>
    <definedName name="solver_num" localSheetId="32" hidden="1">0</definedName>
    <definedName name="solver_num" localSheetId="29" hidden="1">0</definedName>
    <definedName name="solver_num" localSheetId="31" hidden="1">0</definedName>
    <definedName name="solver_num" localSheetId="14" hidden="1">0</definedName>
    <definedName name="solver_num" localSheetId="16" hidden="1">0</definedName>
    <definedName name="solver_num" localSheetId="13" hidden="1">0</definedName>
    <definedName name="solver_num" localSheetId="15" hidden="1">0</definedName>
    <definedName name="solver_num" localSheetId="10" hidden="1">0</definedName>
    <definedName name="solver_num" localSheetId="12" hidden="1">0</definedName>
    <definedName name="solver_num" localSheetId="9" hidden="1">0</definedName>
    <definedName name="solver_num" localSheetId="11" hidden="1">0</definedName>
    <definedName name="solver_num" localSheetId="18" hidden="1">0</definedName>
    <definedName name="solver_num" localSheetId="20" hidden="1">0</definedName>
    <definedName name="solver_num" localSheetId="17" hidden="1">0</definedName>
    <definedName name="solver_num" localSheetId="19" hidden="1">0</definedName>
    <definedName name="solver_nwt" localSheetId="26" hidden="1">1</definedName>
    <definedName name="solver_nwt" localSheetId="28" hidden="1">1</definedName>
    <definedName name="solver_nwt" localSheetId="25" hidden="1">1</definedName>
    <definedName name="solver_nwt" localSheetId="27" hidden="1">1</definedName>
    <definedName name="solver_nwt" localSheetId="22" hidden="1">1</definedName>
    <definedName name="solver_nwt" localSheetId="24" hidden="1">1</definedName>
    <definedName name="solver_nwt" localSheetId="21" hidden="1">1</definedName>
    <definedName name="solver_nwt" localSheetId="23" hidden="1">1</definedName>
    <definedName name="solver_nwt" localSheetId="6" hidden="1">1</definedName>
    <definedName name="solver_nwt" localSheetId="8" hidden="1">1</definedName>
    <definedName name="solver_nwt" localSheetId="5" hidden="1">1</definedName>
    <definedName name="solver_nwt" localSheetId="7" hidden="1">1</definedName>
    <definedName name="solver_nwt" localSheetId="30" hidden="1">1</definedName>
    <definedName name="solver_nwt" localSheetId="32" hidden="1">1</definedName>
    <definedName name="solver_nwt" localSheetId="29" hidden="1">1</definedName>
    <definedName name="solver_nwt" localSheetId="31" hidden="1">1</definedName>
    <definedName name="solver_nwt" localSheetId="14" hidden="1">1</definedName>
    <definedName name="solver_nwt" localSheetId="16" hidden="1">1</definedName>
    <definedName name="solver_nwt" localSheetId="13" hidden="1">1</definedName>
    <definedName name="solver_nwt" localSheetId="15" hidden="1">1</definedName>
    <definedName name="solver_nwt" localSheetId="10" hidden="1">1</definedName>
    <definedName name="solver_nwt" localSheetId="12" hidden="1">1</definedName>
    <definedName name="solver_nwt" localSheetId="9" hidden="1">1</definedName>
    <definedName name="solver_nwt" localSheetId="11" hidden="1">1</definedName>
    <definedName name="solver_nwt" localSheetId="18" hidden="1">1</definedName>
    <definedName name="solver_nwt" localSheetId="20" hidden="1">1</definedName>
    <definedName name="solver_nwt" localSheetId="17" hidden="1">1</definedName>
    <definedName name="solver_nwt" localSheetId="19" hidden="1">1</definedName>
    <definedName name="solver_opt" localSheetId="26" hidden="1">'Bakha L50 Hembras LT'!$B$6</definedName>
    <definedName name="solver_opt" localSheetId="28" hidden="1">'Bakha L50 Hembras Precaudal'!$B$6</definedName>
    <definedName name="solver_opt" localSheetId="25" hidden="1">'Bakha L50 Machos LT'!$B$6</definedName>
    <definedName name="solver_opt" localSheetId="27" hidden="1">'Bakha L50 Machos Precaudal'!$B$6</definedName>
    <definedName name="solver_opt" localSheetId="22" hidden="1">'BG L50 Hembras LT'!$B$5</definedName>
    <definedName name="solver_opt" localSheetId="24" hidden="1">'BG L50 Hembras Precaudal'!$B$5</definedName>
    <definedName name="solver_opt" localSheetId="21" hidden="1">'BG L50 Machos LT'!$B$5</definedName>
    <definedName name="solver_opt" localSheetId="23" hidden="1">'BG L50 Machos Precaudal'!$B$5</definedName>
    <definedName name="solver_opt" localSheetId="6" hidden="1">'GOMPERTZ L50 Hembras LT'!$B$5</definedName>
    <definedName name="solver_opt" localSheetId="8" hidden="1">'GOMPERTZ L50 Hembras Precaudal'!$B$5</definedName>
    <definedName name="solver_opt" localSheetId="5" hidden="1">'GOMPERTZ L50 Machos LT'!$B$5</definedName>
    <definedName name="solver_opt" localSheetId="7" hidden="1">'GOMPERTZ L50 Machos Precaudal'!$B$5</definedName>
    <definedName name="solver_opt" localSheetId="4" hidden="1">Hembras!$H$5</definedName>
    <definedName name="solver_opt" localSheetId="30" hidden="1">'King L50 Hembras LT'!$B$5</definedName>
    <definedName name="solver_opt" localSheetId="32" hidden="1">'King L50 Hembras Precaudal'!$B$5</definedName>
    <definedName name="solver_opt" localSheetId="29" hidden="1">'King L50 Machos LT'!$B$5</definedName>
    <definedName name="solver_opt" localSheetId="31" hidden="1">'King L50 Machos Precaudal'!$B$5</definedName>
    <definedName name="solver_opt" localSheetId="14" hidden="1">'LYSACK L50 Hembras LT'!$B$5</definedName>
    <definedName name="solver_opt" localSheetId="16" hidden="1">'LYSACK L50 Hembras Precaudal'!$B$5</definedName>
    <definedName name="solver_opt" localSheetId="13" hidden="1">'LYSACK L50 Machos LT'!$B$5</definedName>
    <definedName name="solver_opt" localSheetId="15" hidden="1">'LYSACK L50 Machos Precaudal'!$B$5</definedName>
    <definedName name="solver_opt" localSheetId="10" hidden="1">'RICHARDS L50 Hembras LT'!$B$6</definedName>
    <definedName name="solver_opt" localSheetId="12" hidden="1">'RICHARDS L50 Hembras Precaudal'!$B$6</definedName>
    <definedName name="solver_opt" localSheetId="9" hidden="1">'RICHARDS L50 Machos LT'!$B$6</definedName>
    <definedName name="solver_opt" localSheetId="11" hidden="1">'RICHARDS L50 Machos Precaudal'!$B$6</definedName>
    <definedName name="solver_opt" localSheetId="18" hidden="1">'White etal. L50 Hembras LT'!$B$5</definedName>
    <definedName name="solver_opt" localSheetId="20" hidden="1">'White etal. L50 Hembras Precaud'!$B$5</definedName>
    <definedName name="solver_opt" localSheetId="17" hidden="1">'White etal. L50 Machos LT'!$B$5</definedName>
    <definedName name="solver_opt" localSheetId="19" hidden="1">'White etal. L50 Machos Precauda'!$B$5</definedName>
    <definedName name="solver_pre" localSheetId="26" hidden="1">"""""""0.000001"""""""</definedName>
    <definedName name="solver_pre" localSheetId="28" hidden="1">"0.000001"</definedName>
    <definedName name="solver_pre" localSheetId="25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27" hidden="1">"0.000001"</definedName>
    <definedName name="solver_pre" localSheetId="22" hidden="1">"""""""""""""""0.000001"""""""""""""""</definedName>
    <definedName name="solver_pre" localSheetId="24" hidden="1">"""""""0.000001"""""""</definedName>
    <definedName name="solver_pre" localSheetId="21" hidden="1">"""""""""""""""""""""""""""""""""""""""""""""""""""""""""""""""0.000001"""""""""""""""""""""""""""""""""""""""""""""""""""""""""""""""</definedName>
    <definedName name="solver_pre" localSheetId="23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30" hidden="1">"0.000001"</definedName>
    <definedName name="solver_pre" localSheetId="32" hidden="1">"0.000001"</definedName>
    <definedName name="solver_pre" localSheetId="29" hidden="1">"0.000001"</definedName>
    <definedName name="solver_pre" localSheetId="31" hidden="1">"0.000001"</definedName>
    <definedName name="solver_pre" localSheetId="14" hidden="1">"""0.000001"""</definedName>
    <definedName name="solver_pre" localSheetId="16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3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5" hidden="1">"""0.000001"""</definedName>
    <definedName name="solver_pre" localSheetId="10" hidden="1">"""""""""""""""0.000001"""""""""""""""</definedName>
    <definedName name="solver_pre" localSheetId="12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1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8" hidden="1">"""""""""""""""""""""""""""""""""""""""""""""""""""""""""""""""0.000001"""""""""""""""""""""""""""""""""""""""""""""""""""""""""""""""</definedName>
    <definedName name="solver_pre" localSheetId="20" hidden="1">"""""""""""""""0.000001"""""""""""""""</definedName>
    <definedName name="solver_pre" localSheetId="17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9" hidden="1">"""0.000001"""</definedName>
    <definedName name="solver_rbv" localSheetId="26" hidden="1">2</definedName>
    <definedName name="solver_rbv" localSheetId="28" hidden="1">1</definedName>
    <definedName name="solver_rbv" localSheetId="25" hidden="1">1</definedName>
    <definedName name="solver_rbv" localSheetId="27" hidden="1">1</definedName>
    <definedName name="solver_rbv" localSheetId="22" hidden="1">1</definedName>
    <definedName name="solver_rbv" localSheetId="24" hidden="1">1</definedName>
    <definedName name="solver_rbv" localSheetId="21" hidden="1">1</definedName>
    <definedName name="solver_rbv" localSheetId="23" hidden="1">1</definedName>
    <definedName name="solver_rbv" localSheetId="6" hidden="1">1</definedName>
    <definedName name="solver_rbv" localSheetId="8" hidden="1">1</definedName>
    <definedName name="solver_rbv" localSheetId="5" hidden="1">1</definedName>
    <definedName name="solver_rbv" localSheetId="7" hidden="1">1</definedName>
    <definedName name="solver_rbv" localSheetId="30" hidden="1">1</definedName>
    <definedName name="solver_rbv" localSheetId="32" hidden="1">1</definedName>
    <definedName name="solver_rbv" localSheetId="29" hidden="1">1</definedName>
    <definedName name="solver_rbv" localSheetId="31" hidden="1">1</definedName>
    <definedName name="solver_rbv" localSheetId="14" hidden="1">1</definedName>
    <definedName name="solver_rbv" localSheetId="16" hidden="1">1</definedName>
    <definedName name="solver_rbv" localSheetId="13" hidden="1">1</definedName>
    <definedName name="solver_rbv" localSheetId="15" hidden="1">1</definedName>
    <definedName name="solver_rbv" localSheetId="10" hidden="1">1</definedName>
    <definedName name="solver_rbv" localSheetId="12" hidden="1">1</definedName>
    <definedName name="solver_rbv" localSheetId="9" hidden="1">1</definedName>
    <definedName name="solver_rbv" localSheetId="11" hidden="1">1</definedName>
    <definedName name="solver_rbv" localSheetId="18" hidden="1">1</definedName>
    <definedName name="solver_rbv" localSheetId="20" hidden="1">1</definedName>
    <definedName name="solver_rbv" localSheetId="17" hidden="1">1</definedName>
    <definedName name="solver_rbv" localSheetId="19" hidden="1">1</definedName>
    <definedName name="solver_rlx" localSheetId="26" hidden="1">2</definedName>
    <definedName name="solver_rlx" localSheetId="28" hidden="1">2</definedName>
    <definedName name="solver_rlx" localSheetId="25" hidden="1">2</definedName>
    <definedName name="solver_rlx" localSheetId="27" hidden="1">2</definedName>
    <definedName name="solver_rlx" localSheetId="22" hidden="1">2</definedName>
    <definedName name="solver_rlx" localSheetId="24" hidden="1">2</definedName>
    <definedName name="solver_rlx" localSheetId="21" hidden="1">2</definedName>
    <definedName name="solver_rlx" localSheetId="23" hidden="1">2</definedName>
    <definedName name="solver_rlx" localSheetId="6" hidden="1">2</definedName>
    <definedName name="solver_rlx" localSheetId="8" hidden="1">2</definedName>
    <definedName name="solver_rlx" localSheetId="5" hidden="1">2</definedName>
    <definedName name="solver_rlx" localSheetId="7" hidden="1">2</definedName>
    <definedName name="solver_rlx" localSheetId="30" hidden="1">2</definedName>
    <definedName name="solver_rlx" localSheetId="32" hidden="1">2</definedName>
    <definedName name="solver_rlx" localSheetId="29" hidden="1">2</definedName>
    <definedName name="solver_rlx" localSheetId="31" hidden="1">2</definedName>
    <definedName name="solver_rlx" localSheetId="14" hidden="1">2</definedName>
    <definedName name="solver_rlx" localSheetId="16" hidden="1">2</definedName>
    <definedName name="solver_rlx" localSheetId="13" hidden="1">2</definedName>
    <definedName name="solver_rlx" localSheetId="15" hidden="1">2</definedName>
    <definedName name="solver_rlx" localSheetId="10" hidden="1">2</definedName>
    <definedName name="solver_rlx" localSheetId="12" hidden="1">2</definedName>
    <definedName name="solver_rlx" localSheetId="9" hidden="1">2</definedName>
    <definedName name="solver_rlx" localSheetId="11" hidden="1">2</definedName>
    <definedName name="solver_rlx" localSheetId="18" hidden="1">2</definedName>
    <definedName name="solver_rlx" localSheetId="20" hidden="1">2</definedName>
    <definedName name="solver_rlx" localSheetId="17" hidden="1">2</definedName>
    <definedName name="solver_rlx" localSheetId="19" hidden="1">2</definedName>
    <definedName name="solver_rsd" localSheetId="26" hidden="1">0</definedName>
    <definedName name="solver_rsd" localSheetId="28" hidden="1">0</definedName>
    <definedName name="solver_rsd" localSheetId="25" hidden="1">0</definedName>
    <definedName name="solver_rsd" localSheetId="27" hidden="1">0</definedName>
    <definedName name="solver_rsd" localSheetId="22" hidden="1">0</definedName>
    <definedName name="solver_rsd" localSheetId="24" hidden="1">0</definedName>
    <definedName name="solver_rsd" localSheetId="21" hidden="1">0</definedName>
    <definedName name="solver_rsd" localSheetId="23" hidden="1">0</definedName>
    <definedName name="solver_rsd" localSheetId="6" hidden="1">0</definedName>
    <definedName name="solver_rsd" localSheetId="8" hidden="1">0</definedName>
    <definedName name="solver_rsd" localSheetId="5" hidden="1">0</definedName>
    <definedName name="solver_rsd" localSheetId="7" hidden="1">0</definedName>
    <definedName name="solver_rsd" localSheetId="30" hidden="1">0</definedName>
    <definedName name="solver_rsd" localSheetId="32" hidden="1">0</definedName>
    <definedName name="solver_rsd" localSheetId="29" hidden="1">0</definedName>
    <definedName name="solver_rsd" localSheetId="31" hidden="1">0</definedName>
    <definedName name="solver_rsd" localSheetId="14" hidden="1">0</definedName>
    <definedName name="solver_rsd" localSheetId="16" hidden="1">0</definedName>
    <definedName name="solver_rsd" localSheetId="13" hidden="1">0</definedName>
    <definedName name="solver_rsd" localSheetId="15" hidden="1">0</definedName>
    <definedName name="solver_rsd" localSheetId="10" hidden="1">0</definedName>
    <definedName name="solver_rsd" localSheetId="12" hidden="1">0</definedName>
    <definedName name="solver_rsd" localSheetId="9" hidden="1">0</definedName>
    <definedName name="solver_rsd" localSheetId="11" hidden="1">0</definedName>
    <definedName name="solver_rsd" localSheetId="18" hidden="1">0</definedName>
    <definedName name="solver_rsd" localSheetId="20" hidden="1">0</definedName>
    <definedName name="solver_rsd" localSheetId="17" hidden="1">0</definedName>
    <definedName name="solver_rsd" localSheetId="19" hidden="1">0</definedName>
    <definedName name="solver_scl" localSheetId="26" hidden="1">2</definedName>
    <definedName name="solver_scl" localSheetId="28" hidden="1">1</definedName>
    <definedName name="solver_scl" localSheetId="25" hidden="1">1</definedName>
    <definedName name="solver_scl" localSheetId="27" hidden="1">1</definedName>
    <definedName name="solver_scl" localSheetId="22" hidden="1">1</definedName>
    <definedName name="solver_scl" localSheetId="24" hidden="1">1</definedName>
    <definedName name="solver_scl" localSheetId="21" hidden="1">1</definedName>
    <definedName name="solver_scl" localSheetId="23" hidden="1">1</definedName>
    <definedName name="solver_scl" localSheetId="6" hidden="1">1</definedName>
    <definedName name="solver_scl" localSheetId="8" hidden="1">1</definedName>
    <definedName name="solver_scl" localSheetId="5" hidden="1">1</definedName>
    <definedName name="solver_scl" localSheetId="7" hidden="1">1</definedName>
    <definedName name="solver_scl" localSheetId="30" hidden="1">1</definedName>
    <definedName name="solver_scl" localSheetId="32" hidden="1">1</definedName>
    <definedName name="solver_scl" localSheetId="29" hidden="1">1</definedName>
    <definedName name="solver_scl" localSheetId="31" hidden="1">1</definedName>
    <definedName name="solver_scl" localSheetId="14" hidden="1">1</definedName>
    <definedName name="solver_scl" localSheetId="16" hidden="1">1</definedName>
    <definedName name="solver_scl" localSheetId="13" hidden="1">1</definedName>
    <definedName name="solver_scl" localSheetId="15" hidden="1">1</definedName>
    <definedName name="solver_scl" localSheetId="10" hidden="1">1</definedName>
    <definedName name="solver_scl" localSheetId="12" hidden="1">1</definedName>
    <definedName name="solver_scl" localSheetId="9" hidden="1">1</definedName>
    <definedName name="solver_scl" localSheetId="11" hidden="1">1</definedName>
    <definedName name="solver_scl" localSheetId="18" hidden="1">1</definedName>
    <definedName name="solver_scl" localSheetId="20" hidden="1">1</definedName>
    <definedName name="solver_scl" localSheetId="17" hidden="1">1</definedName>
    <definedName name="solver_scl" localSheetId="19" hidden="1">1</definedName>
    <definedName name="solver_sho" localSheetId="26" hidden="1">2</definedName>
    <definedName name="solver_sho" localSheetId="28" hidden="1">2</definedName>
    <definedName name="solver_sho" localSheetId="25" hidden="1">2</definedName>
    <definedName name="solver_sho" localSheetId="27" hidden="1">2</definedName>
    <definedName name="solver_sho" localSheetId="22" hidden="1">2</definedName>
    <definedName name="solver_sho" localSheetId="24" hidden="1">2</definedName>
    <definedName name="solver_sho" localSheetId="21" hidden="1">2</definedName>
    <definedName name="solver_sho" localSheetId="23" hidden="1">2</definedName>
    <definedName name="solver_sho" localSheetId="6" hidden="1">2</definedName>
    <definedName name="solver_sho" localSheetId="8" hidden="1">2</definedName>
    <definedName name="solver_sho" localSheetId="5" hidden="1">2</definedName>
    <definedName name="solver_sho" localSheetId="7" hidden="1">2</definedName>
    <definedName name="solver_sho" localSheetId="30" hidden="1">2</definedName>
    <definedName name="solver_sho" localSheetId="32" hidden="1">2</definedName>
    <definedName name="solver_sho" localSheetId="29" hidden="1">2</definedName>
    <definedName name="solver_sho" localSheetId="31" hidden="1">2</definedName>
    <definedName name="solver_sho" localSheetId="14" hidden="1">2</definedName>
    <definedName name="solver_sho" localSheetId="16" hidden="1">2</definedName>
    <definedName name="solver_sho" localSheetId="13" hidden="1">2</definedName>
    <definedName name="solver_sho" localSheetId="15" hidden="1">2</definedName>
    <definedName name="solver_sho" localSheetId="10" hidden="1">2</definedName>
    <definedName name="solver_sho" localSheetId="12" hidden="1">2</definedName>
    <definedName name="solver_sho" localSheetId="9" hidden="1">2</definedName>
    <definedName name="solver_sho" localSheetId="11" hidden="1">2</definedName>
    <definedName name="solver_sho" localSheetId="18" hidden="1">2</definedName>
    <definedName name="solver_sho" localSheetId="20" hidden="1">2</definedName>
    <definedName name="solver_sho" localSheetId="17" hidden="1">2</definedName>
    <definedName name="solver_sho" localSheetId="19" hidden="1">2</definedName>
    <definedName name="solver_ssz" localSheetId="26" hidden="1">100</definedName>
    <definedName name="solver_ssz" localSheetId="28" hidden="1">100</definedName>
    <definedName name="solver_ssz" localSheetId="25" hidden="1">100</definedName>
    <definedName name="solver_ssz" localSheetId="27" hidden="1">100</definedName>
    <definedName name="solver_ssz" localSheetId="22" hidden="1">100</definedName>
    <definedName name="solver_ssz" localSheetId="24" hidden="1">100</definedName>
    <definedName name="solver_ssz" localSheetId="21" hidden="1">100</definedName>
    <definedName name="solver_ssz" localSheetId="23" hidden="1">100</definedName>
    <definedName name="solver_ssz" localSheetId="6" hidden="1">100</definedName>
    <definedName name="solver_ssz" localSheetId="8" hidden="1">100</definedName>
    <definedName name="solver_ssz" localSheetId="5" hidden="1">100</definedName>
    <definedName name="solver_ssz" localSheetId="7" hidden="1">100</definedName>
    <definedName name="solver_ssz" localSheetId="30" hidden="1">100</definedName>
    <definedName name="solver_ssz" localSheetId="32" hidden="1">100</definedName>
    <definedName name="solver_ssz" localSheetId="29" hidden="1">100</definedName>
    <definedName name="solver_ssz" localSheetId="31" hidden="1">100</definedName>
    <definedName name="solver_ssz" localSheetId="14" hidden="1">100</definedName>
    <definedName name="solver_ssz" localSheetId="16" hidden="1">100</definedName>
    <definedName name="solver_ssz" localSheetId="13" hidden="1">100</definedName>
    <definedName name="solver_ssz" localSheetId="15" hidden="1">100</definedName>
    <definedName name="solver_ssz" localSheetId="10" hidden="1">100</definedName>
    <definedName name="solver_ssz" localSheetId="12" hidden="1">100</definedName>
    <definedName name="solver_ssz" localSheetId="9" hidden="1">100</definedName>
    <definedName name="solver_ssz" localSheetId="11" hidden="1">100</definedName>
    <definedName name="solver_ssz" localSheetId="18" hidden="1">100</definedName>
    <definedName name="solver_ssz" localSheetId="20" hidden="1">100</definedName>
    <definedName name="solver_ssz" localSheetId="17" hidden="1">100</definedName>
    <definedName name="solver_ssz" localSheetId="19" hidden="1">100</definedName>
    <definedName name="solver_tim" localSheetId="26" hidden="1">2147483647</definedName>
    <definedName name="solver_tim" localSheetId="28" hidden="1">2147483647</definedName>
    <definedName name="solver_tim" localSheetId="25" hidden="1">2147483647</definedName>
    <definedName name="solver_tim" localSheetId="27" hidden="1">2147483647</definedName>
    <definedName name="solver_tim" localSheetId="22" hidden="1">2147483647</definedName>
    <definedName name="solver_tim" localSheetId="24" hidden="1">2147483647</definedName>
    <definedName name="solver_tim" localSheetId="21" hidden="1">2147483647</definedName>
    <definedName name="solver_tim" localSheetId="23" hidden="1">2147483647</definedName>
    <definedName name="solver_tim" localSheetId="6" hidden="1">2147483647</definedName>
    <definedName name="solver_tim" localSheetId="8" hidden="1">2147483647</definedName>
    <definedName name="solver_tim" localSheetId="5" hidden="1">2147483647</definedName>
    <definedName name="solver_tim" localSheetId="7" hidden="1">2147483647</definedName>
    <definedName name="solver_tim" localSheetId="30" hidden="1">2147483647</definedName>
    <definedName name="solver_tim" localSheetId="32" hidden="1">2147483647</definedName>
    <definedName name="solver_tim" localSheetId="29" hidden="1">2147483647</definedName>
    <definedName name="solver_tim" localSheetId="31" hidden="1">2147483647</definedName>
    <definedName name="solver_tim" localSheetId="14" hidden="1">2147483647</definedName>
    <definedName name="solver_tim" localSheetId="16" hidden="1">2147483647</definedName>
    <definedName name="solver_tim" localSheetId="13" hidden="1">2147483647</definedName>
    <definedName name="solver_tim" localSheetId="15" hidden="1">2147483647</definedName>
    <definedName name="solver_tim" localSheetId="10" hidden="1">2147483647</definedName>
    <definedName name="solver_tim" localSheetId="12" hidden="1">2147483647</definedName>
    <definedName name="solver_tim" localSheetId="9" hidden="1">2147483647</definedName>
    <definedName name="solver_tim" localSheetId="11" hidden="1">2147483647</definedName>
    <definedName name="solver_tim" localSheetId="18" hidden="1">2147483647</definedName>
    <definedName name="solver_tim" localSheetId="20" hidden="1">2147483647</definedName>
    <definedName name="solver_tim" localSheetId="17" hidden="1">2147483647</definedName>
    <definedName name="solver_tim" localSheetId="19" hidden="1">2147483647</definedName>
    <definedName name="solver_tol" localSheetId="26" hidden="1">1</definedName>
    <definedName name="solver_tol" localSheetId="28" hidden="1">0.01</definedName>
    <definedName name="solver_tol" localSheetId="25" hidden="1">1</definedName>
    <definedName name="solver_tol" localSheetId="27" hidden="1">0.01</definedName>
    <definedName name="solver_tol" localSheetId="22" hidden="1">1</definedName>
    <definedName name="solver_tol" localSheetId="24" hidden="1">1</definedName>
    <definedName name="solver_tol" localSheetId="21" hidden="1">1</definedName>
    <definedName name="solver_tol" localSheetId="23" hidden="1">1</definedName>
    <definedName name="solver_tol" localSheetId="6" hidden="1">1</definedName>
    <definedName name="solver_tol" localSheetId="8" hidden="1">1</definedName>
    <definedName name="solver_tol" localSheetId="5" hidden="1">1</definedName>
    <definedName name="solver_tol" localSheetId="7" hidden="1">1</definedName>
    <definedName name="solver_tol" localSheetId="30" hidden="1">0.01</definedName>
    <definedName name="solver_tol" localSheetId="32" hidden="1">0.01</definedName>
    <definedName name="solver_tol" localSheetId="29" hidden="1">0.01</definedName>
    <definedName name="solver_tol" localSheetId="31" hidden="1">0.01</definedName>
    <definedName name="solver_tol" localSheetId="14" hidden="1">1</definedName>
    <definedName name="solver_tol" localSheetId="16" hidden="1">1</definedName>
    <definedName name="solver_tol" localSheetId="13" hidden="1">1</definedName>
    <definedName name="solver_tol" localSheetId="15" hidden="1">1</definedName>
    <definedName name="solver_tol" localSheetId="10" hidden="1">1</definedName>
    <definedName name="solver_tol" localSheetId="12" hidden="1">1</definedName>
    <definedName name="solver_tol" localSheetId="9" hidden="1">1</definedName>
    <definedName name="solver_tol" localSheetId="11" hidden="1">1</definedName>
    <definedName name="solver_tol" localSheetId="18" hidden="1">1</definedName>
    <definedName name="solver_tol" localSheetId="20" hidden="1">1</definedName>
    <definedName name="solver_tol" localSheetId="17" hidden="1">1</definedName>
    <definedName name="solver_tol" localSheetId="19" hidden="1">1</definedName>
    <definedName name="solver_typ" localSheetId="26" hidden="1">2</definedName>
    <definedName name="solver_typ" localSheetId="28" hidden="1">2</definedName>
    <definedName name="solver_typ" localSheetId="25" hidden="1">2</definedName>
    <definedName name="solver_typ" localSheetId="27" hidden="1">2</definedName>
    <definedName name="solver_typ" localSheetId="22" hidden="1">2</definedName>
    <definedName name="solver_typ" localSheetId="24" hidden="1">2</definedName>
    <definedName name="solver_typ" localSheetId="21" hidden="1">2</definedName>
    <definedName name="solver_typ" localSheetId="23" hidden="1">2</definedName>
    <definedName name="solver_typ" localSheetId="6" hidden="1">2</definedName>
    <definedName name="solver_typ" localSheetId="8" hidden="1">2</definedName>
    <definedName name="solver_typ" localSheetId="5" hidden="1">2</definedName>
    <definedName name="solver_typ" localSheetId="7" hidden="1">2</definedName>
    <definedName name="solver_typ" localSheetId="4" hidden="1">1</definedName>
    <definedName name="solver_typ" localSheetId="30" hidden="1">2</definedName>
    <definedName name="solver_typ" localSheetId="32" hidden="1">2</definedName>
    <definedName name="solver_typ" localSheetId="29" hidden="1">2</definedName>
    <definedName name="solver_typ" localSheetId="31" hidden="1">2</definedName>
    <definedName name="solver_typ" localSheetId="14" hidden="1">2</definedName>
    <definedName name="solver_typ" localSheetId="16" hidden="1">2</definedName>
    <definedName name="solver_typ" localSheetId="13" hidden="1">2</definedName>
    <definedName name="solver_typ" localSheetId="15" hidden="1">2</definedName>
    <definedName name="solver_typ" localSheetId="10" hidden="1">2</definedName>
    <definedName name="solver_typ" localSheetId="12" hidden="1">2</definedName>
    <definedName name="solver_typ" localSheetId="9" hidden="1">2</definedName>
    <definedName name="solver_typ" localSheetId="11" hidden="1">2</definedName>
    <definedName name="solver_typ" localSheetId="18" hidden="1">2</definedName>
    <definedName name="solver_typ" localSheetId="20" hidden="1">2</definedName>
    <definedName name="solver_typ" localSheetId="17" hidden="1">2</definedName>
    <definedName name="solver_typ" localSheetId="19" hidden="1">2</definedName>
    <definedName name="solver_val" localSheetId="26" hidden="1">0</definedName>
    <definedName name="solver_val" localSheetId="28" hidden="1">0</definedName>
    <definedName name="solver_val" localSheetId="25" hidden="1">0</definedName>
    <definedName name="solver_val" localSheetId="27" hidden="1">0</definedName>
    <definedName name="solver_val" localSheetId="22" hidden="1">0</definedName>
    <definedName name="solver_val" localSheetId="24" hidden="1">0</definedName>
    <definedName name="solver_val" localSheetId="21" hidden="1">0</definedName>
    <definedName name="solver_val" localSheetId="23" hidden="1">0</definedName>
    <definedName name="solver_val" localSheetId="6" hidden="1">0</definedName>
    <definedName name="solver_val" localSheetId="8" hidden="1">0</definedName>
    <definedName name="solver_val" localSheetId="5" hidden="1">0</definedName>
    <definedName name="solver_val" localSheetId="7" hidden="1">0</definedName>
    <definedName name="solver_val" localSheetId="4" hidden="1">0</definedName>
    <definedName name="solver_val" localSheetId="30" hidden="1">0</definedName>
    <definedName name="solver_val" localSheetId="32" hidden="1">0</definedName>
    <definedName name="solver_val" localSheetId="29" hidden="1">0</definedName>
    <definedName name="solver_val" localSheetId="31" hidden="1">0</definedName>
    <definedName name="solver_val" localSheetId="14" hidden="1">0</definedName>
    <definedName name="solver_val" localSheetId="16" hidden="1">0</definedName>
    <definedName name="solver_val" localSheetId="13" hidden="1">0</definedName>
    <definedName name="solver_val" localSheetId="15" hidden="1">0</definedName>
    <definedName name="solver_val" localSheetId="10" hidden="1">0</definedName>
    <definedName name="solver_val" localSheetId="12" hidden="1">0</definedName>
    <definedName name="solver_val" localSheetId="9" hidden="1">0</definedName>
    <definedName name="solver_val" localSheetId="11" hidden="1">0</definedName>
    <definedName name="solver_val" localSheetId="18" hidden="1">0</definedName>
    <definedName name="solver_val" localSheetId="20" hidden="1">0</definedName>
    <definedName name="solver_val" localSheetId="17" hidden="1">0</definedName>
    <definedName name="solver_val" localSheetId="19" hidden="1">0</definedName>
    <definedName name="solver_ver" localSheetId="26" hidden="1">3</definedName>
    <definedName name="solver_ver" localSheetId="28" hidden="1">3</definedName>
    <definedName name="solver_ver" localSheetId="25" hidden="1">3</definedName>
    <definedName name="solver_ver" localSheetId="27" hidden="1">3</definedName>
    <definedName name="solver_ver" localSheetId="22" hidden="1">3</definedName>
    <definedName name="solver_ver" localSheetId="24" hidden="1">3</definedName>
    <definedName name="solver_ver" localSheetId="21" hidden="1">3</definedName>
    <definedName name="solver_ver" localSheetId="23" hidden="1">3</definedName>
    <definedName name="solver_ver" localSheetId="6" hidden="1">3</definedName>
    <definedName name="solver_ver" localSheetId="8" hidden="1">3</definedName>
    <definedName name="solver_ver" localSheetId="5" hidden="1">3</definedName>
    <definedName name="solver_ver" localSheetId="7" hidden="1">3</definedName>
    <definedName name="solver_ver" localSheetId="4" hidden="1">3</definedName>
    <definedName name="solver_ver" localSheetId="30" hidden="1">3</definedName>
    <definedName name="solver_ver" localSheetId="32" hidden="1">3</definedName>
    <definedName name="solver_ver" localSheetId="29" hidden="1">3</definedName>
    <definedName name="solver_ver" localSheetId="31" hidden="1">3</definedName>
    <definedName name="solver_ver" localSheetId="14" hidden="1">3</definedName>
    <definedName name="solver_ver" localSheetId="16" hidden="1">3</definedName>
    <definedName name="solver_ver" localSheetId="13" hidden="1">3</definedName>
    <definedName name="solver_ver" localSheetId="15" hidden="1">3</definedName>
    <definedName name="solver_ver" localSheetId="10" hidden="1">3</definedName>
    <definedName name="solver_ver" localSheetId="12" hidden="1">3</definedName>
    <definedName name="solver_ver" localSheetId="9" hidden="1">3</definedName>
    <definedName name="solver_ver" localSheetId="11" hidden="1">3</definedName>
    <definedName name="solver_ver" localSheetId="18" hidden="1">3</definedName>
    <definedName name="solver_ver" localSheetId="20" hidden="1">3</definedName>
    <definedName name="solver_ver" localSheetId="17" hidden="1">3</definedName>
    <definedName name="solver_ver" localSheetId="1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8" l="1"/>
  <c r="R20" i="40"/>
  <c r="R16" i="40"/>
  <c r="R19" i="40"/>
  <c r="R15" i="40"/>
  <c r="R18" i="40"/>
  <c r="R14" i="40"/>
  <c r="R17" i="40"/>
  <c r="R13" i="40"/>
  <c r="R10" i="40"/>
  <c r="R9" i="40"/>
  <c r="R8" i="40"/>
  <c r="R7" i="40"/>
  <c r="R6" i="40"/>
  <c r="R5" i="40"/>
  <c r="R4" i="40"/>
  <c r="R3" i="40"/>
  <c r="G12" i="10"/>
  <c r="H19" i="9" a="1"/>
  <c r="H19" i="9" s="1"/>
  <c r="C20" i="48"/>
  <c r="B20" i="48"/>
  <c r="F19" i="48"/>
  <c r="E19" i="48"/>
  <c r="G19" i="48" s="1"/>
  <c r="D19" i="48"/>
  <c r="F18" i="48"/>
  <c r="E18" i="48"/>
  <c r="H18" i="48" s="1"/>
  <c r="F17" i="48"/>
  <c r="E17" i="48"/>
  <c r="H17" i="48" s="1"/>
  <c r="D17" i="48"/>
  <c r="F16" i="48"/>
  <c r="E16" i="48"/>
  <c r="H16" i="48" s="1"/>
  <c r="D16" i="48"/>
  <c r="F15" i="48"/>
  <c r="E15" i="48"/>
  <c r="G15" i="48" s="1"/>
  <c r="D15" i="48"/>
  <c r="F14" i="48"/>
  <c r="E14" i="48"/>
  <c r="G14" i="48" s="1"/>
  <c r="D14" i="48"/>
  <c r="F13" i="48"/>
  <c r="E13" i="48"/>
  <c r="H13" i="48" s="1"/>
  <c r="D13" i="48"/>
  <c r="F12" i="48"/>
  <c r="E12" i="48"/>
  <c r="G12" i="48" s="1"/>
  <c r="D12" i="48"/>
  <c r="F11" i="48"/>
  <c r="E11" i="48"/>
  <c r="H11" i="48" s="1"/>
  <c r="D11" i="48"/>
  <c r="C21" i="47"/>
  <c r="B21" i="47"/>
  <c r="F20" i="47"/>
  <c r="E20" i="47"/>
  <c r="H20" i="47" s="1"/>
  <c r="D20" i="47"/>
  <c r="F19" i="47"/>
  <c r="E19" i="47"/>
  <c r="H19" i="47" s="1"/>
  <c r="D19" i="47"/>
  <c r="E18" i="47"/>
  <c r="H18" i="47" s="1"/>
  <c r="D18" i="47"/>
  <c r="F17" i="47"/>
  <c r="E17" i="47"/>
  <c r="H17" i="47" s="1"/>
  <c r="D17" i="47"/>
  <c r="F16" i="47"/>
  <c r="E16" i="47"/>
  <c r="H16" i="47" s="1"/>
  <c r="D16" i="47"/>
  <c r="F15" i="47"/>
  <c r="E15" i="47"/>
  <c r="G15" i="47" s="1"/>
  <c r="D15" i="47"/>
  <c r="F14" i="47"/>
  <c r="E14" i="47"/>
  <c r="G14" i="47" s="1"/>
  <c r="D14" i="47"/>
  <c r="F13" i="47"/>
  <c r="E13" i="47"/>
  <c r="H13" i="47" s="1"/>
  <c r="F12" i="47"/>
  <c r="E12" i="47"/>
  <c r="H12" i="47" s="1"/>
  <c r="D12" i="47"/>
  <c r="F11" i="47"/>
  <c r="E11" i="47"/>
  <c r="H11" i="47" s="1"/>
  <c r="D11" i="47"/>
  <c r="C20" i="46"/>
  <c r="B20" i="46"/>
  <c r="F19" i="46"/>
  <c r="E19" i="46"/>
  <c r="H19" i="46" s="1"/>
  <c r="D19" i="46"/>
  <c r="F18" i="46"/>
  <c r="E18" i="46"/>
  <c r="H18" i="46" s="1"/>
  <c r="D18" i="46"/>
  <c r="F17" i="46"/>
  <c r="E17" i="46"/>
  <c r="G17" i="46" s="1"/>
  <c r="D17" i="46"/>
  <c r="F16" i="46"/>
  <c r="E16" i="46"/>
  <c r="G16" i="46" s="1"/>
  <c r="D16" i="46"/>
  <c r="F15" i="46"/>
  <c r="E15" i="46"/>
  <c r="G15" i="46" s="1"/>
  <c r="D15" i="46"/>
  <c r="F14" i="46"/>
  <c r="E14" i="46"/>
  <c r="H14" i="46" s="1"/>
  <c r="D14" i="46"/>
  <c r="F13" i="46"/>
  <c r="E13" i="46"/>
  <c r="H13" i="46" s="1"/>
  <c r="D13" i="46"/>
  <c r="F12" i="46"/>
  <c r="E12" i="46"/>
  <c r="H12" i="46" s="1"/>
  <c r="D12" i="46"/>
  <c r="F11" i="46"/>
  <c r="E11" i="46"/>
  <c r="G11" i="46" s="1"/>
  <c r="D11" i="46"/>
  <c r="C21" i="45"/>
  <c r="B21" i="45"/>
  <c r="F20" i="45"/>
  <c r="E20" i="45"/>
  <c r="H20" i="45" s="1"/>
  <c r="D20" i="45"/>
  <c r="F19" i="45"/>
  <c r="E19" i="45"/>
  <c r="H19" i="45" s="1"/>
  <c r="D19" i="45"/>
  <c r="F18" i="45"/>
  <c r="E18" i="45"/>
  <c r="G18" i="45" s="1"/>
  <c r="D18" i="45"/>
  <c r="F17" i="45"/>
  <c r="E17" i="45"/>
  <c r="H17" i="45" s="1"/>
  <c r="D17" i="45"/>
  <c r="F16" i="45"/>
  <c r="E16" i="45"/>
  <c r="H16" i="45" s="1"/>
  <c r="D16" i="45"/>
  <c r="F15" i="45"/>
  <c r="E15" i="45"/>
  <c r="H15" i="45" s="1"/>
  <c r="D15" i="45"/>
  <c r="F14" i="45"/>
  <c r="E14" i="45"/>
  <c r="H14" i="45" s="1"/>
  <c r="D14" i="45"/>
  <c r="F13" i="45"/>
  <c r="E13" i="45"/>
  <c r="H13" i="45" s="1"/>
  <c r="D13" i="45"/>
  <c r="F12" i="45"/>
  <c r="E12" i="45"/>
  <c r="G12" i="45" s="1"/>
  <c r="D12" i="45"/>
  <c r="F11" i="45"/>
  <c r="E11" i="45"/>
  <c r="G11" i="45" s="1"/>
  <c r="D11" i="45"/>
  <c r="G17" i="48" l="1"/>
  <c r="G20" i="47"/>
  <c r="G11" i="47"/>
  <c r="H14" i="47"/>
  <c r="H17" i="46"/>
  <c r="G14" i="46"/>
  <c r="H18" i="45"/>
  <c r="G15" i="45"/>
  <c r="H11" i="45"/>
  <c r="H14" i="48"/>
  <c r="H15" i="48"/>
  <c r="H19" i="48"/>
  <c r="G11" i="48"/>
  <c r="G16" i="48"/>
  <c r="G18" i="48"/>
  <c r="H12" i="48"/>
  <c r="H20" i="48" s="1"/>
  <c r="B6" i="48" s="1"/>
  <c r="G13" i="48"/>
  <c r="G18" i="47"/>
  <c r="G16" i="47"/>
  <c r="G13" i="47"/>
  <c r="H15" i="47"/>
  <c r="G12" i="47"/>
  <c r="G17" i="47"/>
  <c r="G19" i="47"/>
  <c r="H11" i="46"/>
  <c r="G19" i="46"/>
  <c r="G18" i="46"/>
  <c r="H15" i="46"/>
  <c r="G13" i="46"/>
  <c r="H16" i="46"/>
  <c r="G12" i="46"/>
  <c r="G20" i="45"/>
  <c r="H12" i="45"/>
  <c r="G19" i="45"/>
  <c r="G17" i="45"/>
  <c r="G14" i="45"/>
  <c r="G13" i="45"/>
  <c r="G16" i="45"/>
  <c r="H21" i="47" l="1"/>
  <c r="B6" i="47" s="1"/>
  <c r="G21" i="47"/>
  <c r="B5" i="47" s="1"/>
  <c r="B7" i="47" s="1"/>
  <c r="G20" i="46"/>
  <c r="B5" i="46" s="1"/>
  <c r="B7" i="46" s="1"/>
  <c r="H21" i="45"/>
  <c r="B6" i="45" s="1"/>
  <c r="G21" i="45"/>
  <c r="B5" i="45" s="1"/>
  <c r="B7" i="45" s="1"/>
  <c r="G20" i="48"/>
  <c r="B5" i="48" s="1"/>
  <c r="B7" i="48" s="1"/>
  <c r="H20" i="46"/>
  <c r="B6" i="46" s="1"/>
  <c r="E12" i="32" l="1"/>
  <c r="E11" i="8"/>
  <c r="H11" i="8" s="1"/>
  <c r="D11" i="8"/>
  <c r="G11" i="8" l="1"/>
  <c r="D18" i="35"/>
  <c r="D6" i="33"/>
  <c r="E20" i="32"/>
  <c r="E13" i="32"/>
  <c r="E14" i="32"/>
  <c r="E15" i="32"/>
  <c r="E16" i="32"/>
  <c r="E17" i="32"/>
  <c r="E18" i="32"/>
  <c r="E19" i="32"/>
  <c r="E11" i="32"/>
  <c r="E12" i="35"/>
  <c r="E13" i="35"/>
  <c r="E14" i="35"/>
  <c r="E15" i="35"/>
  <c r="E16" i="35"/>
  <c r="E17" i="35"/>
  <c r="E18" i="35"/>
  <c r="E19" i="35"/>
  <c r="E11" i="35"/>
  <c r="E12" i="34"/>
  <c r="E13" i="34"/>
  <c r="E14" i="34"/>
  <c r="E15" i="34"/>
  <c r="E16" i="34"/>
  <c r="E17" i="34"/>
  <c r="E18" i="34"/>
  <c r="E19" i="34"/>
  <c r="E20" i="34"/>
  <c r="E11" i="34"/>
  <c r="E12" i="33"/>
  <c r="E13" i="33"/>
  <c r="E14" i="33"/>
  <c r="E15" i="33"/>
  <c r="E16" i="33"/>
  <c r="E17" i="33"/>
  <c r="E18" i="33"/>
  <c r="E19" i="33"/>
  <c r="E11" i="33"/>
  <c r="D6" i="35"/>
  <c r="B5" i="35"/>
  <c r="B7" i="35" s="1"/>
  <c r="B5" i="34"/>
  <c r="B7" i="34" s="1"/>
  <c r="B5" i="33"/>
  <c r="B7" i="33" s="1"/>
  <c r="B5" i="32"/>
  <c r="B7" i="32" s="1"/>
  <c r="B7" i="27"/>
  <c r="B7" i="25"/>
  <c r="E20" i="24"/>
  <c r="G20" i="24" s="1"/>
  <c r="D18" i="10"/>
  <c r="G11" i="11"/>
  <c r="E12" i="8" l="1"/>
  <c r="E13" i="8"/>
  <c r="E14" i="8"/>
  <c r="E15" i="8"/>
  <c r="E16" i="8"/>
  <c r="E17" i="8"/>
  <c r="E18" i="8"/>
  <c r="E19" i="8"/>
  <c r="E20" i="8"/>
  <c r="B20" i="5"/>
  <c r="H19" i="6" a="1"/>
  <c r="H19" i="6" s="1"/>
  <c r="F14" i="9"/>
  <c r="G19" i="9" s="1"/>
  <c r="M6" i="9"/>
  <c r="K6" i="9"/>
  <c r="M5" i="9"/>
  <c r="K5" i="9"/>
  <c r="F12" i="9"/>
  <c r="F10" i="9"/>
  <c r="F7" i="9"/>
  <c r="F6" i="9"/>
  <c r="F5" i="9"/>
  <c r="F14" i="6"/>
  <c r="F15" i="6"/>
  <c r="F16" i="6"/>
  <c r="F5" i="6"/>
  <c r="F12" i="6" s="1"/>
  <c r="M6" i="6"/>
  <c r="K6" i="6"/>
  <c r="M5" i="6"/>
  <c r="K5" i="6"/>
  <c r="F6" i="6"/>
  <c r="N6" i="40"/>
  <c r="N5" i="40"/>
  <c r="M11" i="40" s="1"/>
  <c r="N3" i="40"/>
  <c r="N4" i="40" s="1"/>
  <c r="J6" i="40"/>
  <c r="J5" i="40"/>
  <c r="I11" i="40" s="1"/>
  <c r="J3" i="40"/>
  <c r="J4" i="40" s="1"/>
  <c r="E390" i="2"/>
  <c r="E389" i="2"/>
  <c r="E387" i="2"/>
  <c r="B390" i="2"/>
  <c r="B389" i="2"/>
  <c r="A396" i="2" s="1"/>
  <c r="B226" i="1"/>
  <c r="N7" i="40" l="1"/>
  <c r="N8" i="40" s="1"/>
  <c r="N11" i="40" s="1"/>
  <c r="J7" i="40"/>
  <c r="J8" i="40" s="1"/>
  <c r="J11" i="40" s="1"/>
  <c r="I12" i="40" s="1"/>
  <c r="J12" i="40" s="1"/>
  <c r="I13" i="40" s="1"/>
  <c r="J13" i="40" s="1"/>
  <c r="I14" i="40" s="1"/>
  <c r="J14" i="40" s="1"/>
  <c r="I15" i="40" s="1"/>
  <c r="J15" i="40" s="1"/>
  <c r="I16" i="40" s="1"/>
  <c r="J16" i="40" s="1"/>
  <c r="I17" i="40" s="1"/>
  <c r="J17" i="40" s="1"/>
  <c r="I18" i="40" s="1"/>
  <c r="J18" i="40" s="1"/>
  <c r="I19" i="40" s="1"/>
  <c r="J19" i="40" s="1"/>
  <c r="I20" i="40" s="1"/>
  <c r="J20" i="40" s="1"/>
  <c r="I21" i="40" s="1"/>
  <c r="J21" i="40" s="1"/>
  <c r="M12" i="40"/>
  <c r="N12" i="40" l="1"/>
  <c r="M13" i="40" s="1"/>
  <c r="N13" i="40" s="1"/>
  <c r="M14" i="40" s="1"/>
  <c r="N14" i="40" l="1"/>
  <c r="M15" i="40" s="1"/>
  <c r="B219" i="1"/>
  <c r="B218" i="1"/>
  <c r="E211" i="1"/>
  <c r="E210" i="1"/>
  <c r="E209" i="1"/>
  <c r="B214" i="1"/>
  <c r="B211" i="1"/>
  <c r="B381" i="2"/>
  <c r="B209" i="1"/>
  <c r="B205" i="1"/>
  <c r="E11" i="16"/>
  <c r="N15" i="40" l="1"/>
  <c r="M16" i="40" s="1"/>
  <c r="B387" i="2"/>
  <c r="B388" i="2" s="1"/>
  <c r="F11" i="8"/>
  <c r="C20" i="35"/>
  <c r="B20" i="35"/>
  <c r="F19" i="35"/>
  <c r="H19" i="35"/>
  <c r="D19" i="35"/>
  <c r="F18" i="35"/>
  <c r="H18" i="35"/>
  <c r="F17" i="35"/>
  <c r="G17" i="35"/>
  <c r="D17" i="35"/>
  <c r="F16" i="35"/>
  <c r="H16" i="35"/>
  <c r="D16" i="35"/>
  <c r="F15" i="35"/>
  <c r="H15" i="35"/>
  <c r="D15" i="35"/>
  <c r="F14" i="35"/>
  <c r="D14" i="35"/>
  <c r="F13" i="35"/>
  <c r="G13" i="35"/>
  <c r="D13" i="35"/>
  <c r="F12" i="35"/>
  <c r="D12" i="35"/>
  <c r="F11" i="35"/>
  <c r="D11" i="35"/>
  <c r="C21" i="34"/>
  <c r="B21" i="34"/>
  <c r="F20" i="34"/>
  <c r="G20" i="34"/>
  <c r="D20" i="34"/>
  <c r="F19" i="34"/>
  <c r="H19" i="34"/>
  <c r="D19" i="34"/>
  <c r="H18" i="34"/>
  <c r="D18" i="34"/>
  <c r="F17" i="34"/>
  <c r="D17" i="34"/>
  <c r="F16" i="34"/>
  <c r="H16" i="34"/>
  <c r="D16" i="34"/>
  <c r="F15" i="34"/>
  <c r="D15" i="34"/>
  <c r="F14" i="34"/>
  <c r="H14" i="34"/>
  <c r="D14" i="34"/>
  <c r="F13" i="34"/>
  <c r="H13" i="34"/>
  <c r="F12" i="34"/>
  <c r="G12" i="34"/>
  <c r="D12" i="34"/>
  <c r="F11" i="34"/>
  <c r="D11" i="34"/>
  <c r="C20" i="33"/>
  <c r="B20" i="33"/>
  <c r="F19" i="33"/>
  <c r="D19" i="33"/>
  <c r="F18" i="33"/>
  <c r="G18" i="33"/>
  <c r="D18" i="33"/>
  <c r="F17" i="33"/>
  <c r="G17" i="33"/>
  <c r="D17" i="33"/>
  <c r="F16" i="33"/>
  <c r="D16" i="33"/>
  <c r="F15" i="33"/>
  <c r="G15" i="33"/>
  <c r="D15" i="33"/>
  <c r="F14" i="33"/>
  <c r="D14" i="33"/>
  <c r="F13" i="33"/>
  <c r="D13" i="33"/>
  <c r="F12" i="33"/>
  <c r="D12" i="33"/>
  <c r="F11" i="33"/>
  <c r="D11" i="33"/>
  <c r="C21" i="32"/>
  <c r="B21" i="32"/>
  <c r="F20" i="32"/>
  <c r="D20" i="32"/>
  <c r="F19" i="32"/>
  <c r="D19" i="32"/>
  <c r="F18" i="32"/>
  <c r="D18" i="32"/>
  <c r="F17" i="32"/>
  <c r="D17" i="32"/>
  <c r="F16" i="32"/>
  <c r="G16" i="32"/>
  <c r="D16" i="32"/>
  <c r="F15" i="32"/>
  <c r="H15" i="32"/>
  <c r="D15" i="32"/>
  <c r="F14" i="32"/>
  <c r="G14" i="32"/>
  <c r="D14" i="32"/>
  <c r="F13" i="32"/>
  <c r="D13" i="32"/>
  <c r="F12" i="32"/>
  <c r="H12" i="32"/>
  <c r="D12" i="32"/>
  <c r="F11" i="32"/>
  <c r="H11" i="32"/>
  <c r="D11" i="32"/>
  <c r="H12" i="35" l="1"/>
  <c r="H14" i="35"/>
  <c r="H11" i="35"/>
  <c r="H11" i="34"/>
  <c r="H15" i="34"/>
  <c r="H17" i="34"/>
  <c r="H11" i="33"/>
  <c r="H13" i="33"/>
  <c r="H14" i="33"/>
  <c r="H19" i="33"/>
  <c r="H16" i="33"/>
  <c r="H17" i="33"/>
  <c r="H12" i="33"/>
  <c r="H19" i="32"/>
  <c r="H17" i="32"/>
  <c r="H18" i="32"/>
  <c r="H13" i="32"/>
  <c r="G20" i="32"/>
  <c r="H17" i="35"/>
  <c r="G14" i="35"/>
  <c r="G13" i="34"/>
  <c r="G19" i="34"/>
  <c r="G18" i="34"/>
  <c r="G15" i="34"/>
  <c r="H12" i="34"/>
  <c r="G14" i="33"/>
  <c r="G18" i="32"/>
  <c r="G15" i="32"/>
  <c r="N16" i="40"/>
  <c r="M17" i="40" s="1"/>
  <c r="G11" i="35"/>
  <c r="G18" i="35"/>
  <c r="G12" i="35"/>
  <c r="G19" i="35"/>
  <c r="H13" i="35"/>
  <c r="G15" i="35"/>
  <c r="G16" i="35"/>
  <c r="G17" i="34"/>
  <c r="H20" i="34"/>
  <c r="G14" i="34"/>
  <c r="G11" i="34"/>
  <c r="G16" i="34"/>
  <c r="G12" i="33"/>
  <c r="H15" i="33"/>
  <c r="G19" i="33"/>
  <c r="G16" i="33"/>
  <c r="H18" i="33"/>
  <c r="G13" i="33"/>
  <c r="G11" i="33"/>
  <c r="G12" i="32"/>
  <c r="G19" i="32"/>
  <c r="G17" i="32"/>
  <c r="H20" i="32"/>
  <c r="H16" i="32"/>
  <c r="G11" i="32"/>
  <c r="H14" i="32"/>
  <c r="G13" i="32"/>
  <c r="H21" i="34" l="1"/>
  <c r="D6" i="34" s="1"/>
  <c r="G21" i="34"/>
  <c r="B6" i="34" s="1"/>
  <c r="G20" i="33"/>
  <c r="B6" i="33" s="1"/>
  <c r="H20" i="33"/>
  <c r="H21" i="32"/>
  <c r="D6" i="32" s="1"/>
  <c r="H20" i="35"/>
  <c r="N17" i="40"/>
  <c r="M18" i="40" s="1"/>
  <c r="G20" i="35"/>
  <c r="B6" i="35" s="1"/>
  <c r="G21" i="32"/>
  <c r="B6" i="32" s="1"/>
  <c r="E12" i="27"/>
  <c r="E13" i="27"/>
  <c r="E14" i="27"/>
  <c r="E15" i="27"/>
  <c r="H15" i="27" s="1"/>
  <c r="E16" i="27"/>
  <c r="G16" i="27" s="1"/>
  <c r="E17" i="27"/>
  <c r="G17" i="27" s="1"/>
  <c r="E18" i="27"/>
  <c r="H18" i="27" s="1"/>
  <c r="E19" i="27"/>
  <c r="E11" i="27"/>
  <c r="E11" i="26"/>
  <c r="G11" i="26" s="1"/>
  <c r="E12" i="26"/>
  <c r="G12" i="26" s="1"/>
  <c r="E13" i="26"/>
  <c r="E14" i="26"/>
  <c r="H14" i="26" s="1"/>
  <c r="E15" i="26"/>
  <c r="E16" i="26"/>
  <c r="E17" i="26"/>
  <c r="E18" i="26"/>
  <c r="E19" i="26"/>
  <c r="E20" i="26"/>
  <c r="H20" i="26" s="1"/>
  <c r="E12" i="25"/>
  <c r="H12" i="25" s="1"/>
  <c r="E13" i="25"/>
  <c r="E14" i="25"/>
  <c r="H14" i="25" s="1"/>
  <c r="E15" i="25"/>
  <c r="E16" i="25"/>
  <c r="E17" i="25"/>
  <c r="H17" i="25" s="1"/>
  <c r="E18" i="25"/>
  <c r="H18" i="25" s="1"/>
  <c r="E19" i="25"/>
  <c r="G19" i="25" s="1"/>
  <c r="E11" i="25"/>
  <c r="G11" i="25" s="1"/>
  <c r="E12" i="24"/>
  <c r="H12" i="24" s="1"/>
  <c r="E13" i="24"/>
  <c r="E14" i="24"/>
  <c r="E15" i="24"/>
  <c r="E16" i="24"/>
  <c r="H16" i="24" s="1"/>
  <c r="E17" i="24"/>
  <c r="H17" i="24" s="1"/>
  <c r="E18" i="24"/>
  <c r="E19" i="24"/>
  <c r="H20" i="24"/>
  <c r="E11" i="24"/>
  <c r="C20" i="27"/>
  <c r="B20" i="27"/>
  <c r="F19" i="27"/>
  <c r="G19" i="27"/>
  <c r="D19" i="27"/>
  <c r="F18" i="27"/>
  <c r="F17" i="27"/>
  <c r="D17" i="27"/>
  <c r="F16" i="27"/>
  <c r="D16" i="27"/>
  <c r="F15" i="27"/>
  <c r="D15" i="27"/>
  <c r="F14" i="27"/>
  <c r="D14" i="27"/>
  <c r="F13" i="27"/>
  <c r="D13" i="27"/>
  <c r="F12" i="27"/>
  <c r="D12" i="27"/>
  <c r="F11" i="27"/>
  <c r="D11" i="27"/>
  <c r="C21" i="26"/>
  <c r="B21" i="26"/>
  <c r="F20" i="26"/>
  <c r="D20" i="26"/>
  <c r="F19" i="26"/>
  <c r="D19" i="26"/>
  <c r="D18" i="26"/>
  <c r="F17" i="26"/>
  <c r="D17" i="26"/>
  <c r="F16" i="26"/>
  <c r="D16" i="26"/>
  <c r="F15" i="26"/>
  <c r="D15" i="26"/>
  <c r="F14" i="26"/>
  <c r="D14" i="26"/>
  <c r="F13" i="26"/>
  <c r="F12" i="26"/>
  <c r="D12" i="26"/>
  <c r="F11" i="26"/>
  <c r="D11" i="26"/>
  <c r="C20" i="25"/>
  <c r="B20" i="25"/>
  <c r="F19" i="25"/>
  <c r="D19" i="25"/>
  <c r="F18" i="25"/>
  <c r="D18" i="25"/>
  <c r="F17" i="25"/>
  <c r="D17" i="25"/>
  <c r="F16" i="25"/>
  <c r="D16" i="25"/>
  <c r="F15" i="25"/>
  <c r="D15" i="25"/>
  <c r="F14" i="25"/>
  <c r="D14" i="25"/>
  <c r="F13" i="25"/>
  <c r="D13" i="25"/>
  <c r="F12" i="25"/>
  <c r="D12" i="25"/>
  <c r="F11" i="25"/>
  <c r="D11" i="25"/>
  <c r="C21" i="24"/>
  <c r="B21" i="24"/>
  <c r="F20" i="24"/>
  <c r="D20" i="24"/>
  <c r="F19" i="24"/>
  <c r="D19" i="24"/>
  <c r="F18" i="24"/>
  <c r="D18" i="24"/>
  <c r="F17" i="24"/>
  <c r="D17" i="24"/>
  <c r="F16" i="24"/>
  <c r="D16" i="24"/>
  <c r="F15" i="24"/>
  <c r="D15" i="24"/>
  <c r="F14" i="24"/>
  <c r="D14" i="24"/>
  <c r="F13" i="24"/>
  <c r="D13" i="24"/>
  <c r="F12" i="24"/>
  <c r="D12" i="24"/>
  <c r="F11" i="24"/>
  <c r="D11" i="24"/>
  <c r="F19" i="23"/>
  <c r="E19" i="23"/>
  <c r="H19" i="23" s="1"/>
  <c r="F18" i="23"/>
  <c r="E18" i="23"/>
  <c r="G18" i="23" s="1"/>
  <c r="F17" i="23"/>
  <c r="E17" i="23"/>
  <c r="F16" i="23"/>
  <c r="E16" i="23"/>
  <c r="F15" i="23"/>
  <c r="E15" i="23"/>
  <c r="H15" i="23" s="1"/>
  <c r="F14" i="23"/>
  <c r="E14" i="23"/>
  <c r="H14" i="23" s="1"/>
  <c r="F13" i="23"/>
  <c r="E13" i="23"/>
  <c r="H13" i="23" s="1"/>
  <c r="F12" i="23"/>
  <c r="E12" i="23"/>
  <c r="H12" i="23" s="1"/>
  <c r="F11" i="23"/>
  <c r="E11" i="23"/>
  <c r="H11" i="23" s="1"/>
  <c r="C20" i="23"/>
  <c r="B20" i="23"/>
  <c r="D19" i="23"/>
  <c r="D17" i="23"/>
  <c r="D16" i="23"/>
  <c r="D15" i="23"/>
  <c r="D14" i="23"/>
  <c r="D13" i="23"/>
  <c r="D12" i="23"/>
  <c r="D11" i="23"/>
  <c r="E12" i="22"/>
  <c r="E13" i="22"/>
  <c r="H13" i="22" s="1"/>
  <c r="E14" i="22"/>
  <c r="G14" i="22" s="1"/>
  <c r="E15" i="22"/>
  <c r="H15" i="22" s="1"/>
  <c r="E16" i="22"/>
  <c r="H16" i="22" s="1"/>
  <c r="E17" i="22"/>
  <c r="E18" i="22"/>
  <c r="E19" i="22"/>
  <c r="G19" i="22" s="1"/>
  <c r="E20" i="22"/>
  <c r="E11" i="22"/>
  <c r="H11" i="22" s="1"/>
  <c r="C21" i="22"/>
  <c r="B21" i="22"/>
  <c r="F20" i="22"/>
  <c r="D20" i="22"/>
  <c r="F19" i="22"/>
  <c r="D19" i="22"/>
  <c r="D18" i="22"/>
  <c r="F17" i="22"/>
  <c r="D17" i="22"/>
  <c r="F16" i="22"/>
  <c r="D16" i="22"/>
  <c r="F15" i="22"/>
  <c r="D15" i="22"/>
  <c r="F14" i="22"/>
  <c r="D14" i="22"/>
  <c r="F13" i="22"/>
  <c r="F12" i="22"/>
  <c r="D12" i="22"/>
  <c r="F11" i="22"/>
  <c r="D11" i="22"/>
  <c r="E12" i="21"/>
  <c r="G12" i="21" s="1"/>
  <c r="E13" i="21"/>
  <c r="H13" i="21" s="1"/>
  <c r="E14" i="21"/>
  <c r="H14" i="21" s="1"/>
  <c r="E15" i="21"/>
  <c r="E16" i="21"/>
  <c r="G16" i="21" s="1"/>
  <c r="E17" i="21"/>
  <c r="E18" i="21"/>
  <c r="E19" i="21"/>
  <c r="E11" i="21"/>
  <c r="C20" i="21"/>
  <c r="B20" i="21"/>
  <c r="F19" i="21"/>
  <c r="D19" i="21"/>
  <c r="F18" i="21"/>
  <c r="D18" i="21"/>
  <c r="F17" i="21"/>
  <c r="D17" i="21"/>
  <c r="F16" i="21"/>
  <c r="D16" i="21"/>
  <c r="F15" i="21"/>
  <c r="D15" i="21"/>
  <c r="F14" i="21"/>
  <c r="D14" i="21"/>
  <c r="F13" i="21"/>
  <c r="D13" i="21"/>
  <c r="F12" i="21"/>
  <c r="D12" i="21"/>
  <c r="F11" i="21"/>
  <c r="D11" i="21"/>
  <c r="E12" i="20"/>
  <c r="H12" i="20" s="1"/>
  <c r="E13" i="20"/>
  <c r="H13" i="20" s="1"/>
  <c r="E14" i="20"/>
  <c r="H14" i="20" s="1"/>
  <c r="E15" i="20"/>
  <c r="E16" i="20"/>
  <c r="E17" i="20"/>
  <c r="H17" i="20" s="1"/>
  <c r="E18" i="20"/>
  <c r="G18" i="20" s="1"/>
  <c r="E19" i="20"/>
  <c r="G19" i="20" s="1"/>
  <c r="E20" i="20"/>
  <c r="E11" i="20"/>
  <c r="C21" i="20"/>
  <c r="B21" i="20"/>
  <c r="F20" i="20"/>
  <c r="D20" i="20"/>
  <c r="F19" i="20"/>
  <c r="D19" i="20"/>
  <c r="F18" i="20"/>
  <c r="D18" i="20"/>
  <c r="F17" i="20"/>
  <c r="D17" i="20"/>
  <c r="F16" i="20"/>
  <c r="D16" i="20"/>
  <c r="F15" i="20"/>
  <c r="D15" i="20"/>
  <c r="F14" i="20"/>
  <c r="D14" i="20"/>
  <c r="F13" i="20"/>
  <c r="D13" i="20"/>
  <c r="F12" i="20"/>
  <c r="D12" i="20"/>
  <c r="F11" i="20"/>
  <c r="D11" i="20"/>
  <c r="E12" i="19"/>
  <c r="F19" i="19"/>
  <c r="E19" i="19"/>
  <c r="H19" i="19" s="1"/>
  <c r="F18" i="19"/>
  <c r="E18" i="19"/>
  <c r="F17" i="19"/>
  <c r="E17" i="19"/>
  <c r="H17" i="19" s="1"/>
  <c r="F16" i="19"/>
  <c r="E16" i="19"/>
  <c r="F15" i="19"/>
  <c r="E15" i="19"/>
  <c r="F14" i="19"/>
  <c r="E14" i="19"/>
  <c r="F13" i="19"/>
  <c r="E13" i="19"/>
  <c r="F12" i="19"/>
  <c r="F11" i="19"/>
  <c r="E11" i="19"/>
  <c r="G11" i="19" s="1"/>
  <c r="E12" i="18"/>
  <c r="H12" i="18" s="1"/>
  <c r="E13" i="18"/>
  <c r="H13" i="18" s="1"/>
  <c r="E14" i="18"/>
  <c r="E15" i="18"/>
  <c r="H15" i="18" s="1"/>
  <c r="E16" i="18"/>
  <c r="H16" i="18" s="1"/>
  <c r="E17" i="18"/>
  <c r="H17" i="18" s="1"/>
  <c r="E18" i="18"/>
  <c r="H18" i="18" s="1"/>
  <c r="E19" i="18"/>
  <c r="E20" i="18"/>
  <c r="E11" i="18"/>
  <c r="F20" i="18"/>
  <c r="F19" i="18"/>
  <c r="F17" i="18"/>
  <c r="F16" i="18"/>
  <c r="F15" i="18"/>
  <c r="F14" i="18"/>
  <c r="F13" i="18"/>
  <c r="F12" i="18"/>
  <c r="F11" i="18"/>
  <c r="E12" i="17"/>
  <c r="H12" i="17" s="1"/>
  <c r="E13" i="17"/>
  <c r="E14" i="17"/>
  <c r="E15" i="17"/>
  <c r="E16" i="17"/>
  <c r="H16" i="17" s="1"/>
  <c r="E17" i="17"/>
  <c r="E18" i="17"/>
  <c r="E19" i="17"/>
  <c r="E11" i="17"/>
  <c r="E12" i="16"/>
  <c r="G12" i="16" s="1"/>
  <c r="E13" i="16"/>
  <c r="E14" i="16"/>
  <c r="E15" i="16"/>
  <c r="H15" i="16" s="1"/>
  <c r="E16" i="16"/>
  <c r="H16" i="16" s="1"/>
  <c r="E17" i="16"/>
  <c r="H17" i="16" s="1"/>
  <c r="E18" i="16"/>
  <c r="H18" i="16" s="1"/>
  <c r="E19" i="16"/>
  <c r="H19" i="16" s="1"/>
  <c r="E20" i="16"/>
  <c r="C20" i="19"/>
  <c r="B20" i="19"/>
  <c r="D19" i="19"/>
  <c r="D17" i="19"/>
  <c r="D16" i="19"/>
  <c r="D15" i="19"/>
  <c r="D14" i="19"/>
  <c r="D13" i="19"/>
  <c r="D12" i="19"/>
  <c r="D11" i="19"/>
  <c r="C21" i="18"/>
  <c r="B21" i="18"/>
  <c r="D20" i="18"/>
  <c r="D19" i="18"/>
  <c r="D18" i="18"/>
  <c r="D17" i="18"/>
  <c r="D16" i="18"/>
  <c r="D15" i="18"/>
  <c r="D14" i="18"/>
  <c r="D12" i="18"/>
  <c r="D11" i="18"/>
  <c r="C20" i="17"/>
  <c r="B20" i="17"/>
  <c r="F19" i="17"/>
  <c r="D19" i="17"/>
  <c r="F18" i="17"/>
  <c r="D18" i="17"/>
  <c r="F17" i="17"/>
  <c r="D17" i="17"/>
  <c r="F16" i="17"/>
  <c r="D16" i="17"/>
  <c r="F15" i="17"/>
  <c r="D15" i="17"/>
  <c r="F14" i="17"/>
  <c r="D14" i="17"/>
  <c r="F13" i="17"/>
  <c r="D13" i="17"/>
  <c r="F12" i="17"/>
  <c r="D12" i="17"/>
  <c r="F11" i="17"/>
  <c r="D11" i="17"/>
  <c r="C21" i="16"/>
  <c r="B21" i="16"/>
  <c r="F20" i="16"/>
  <c r="D20" i="16"/>
  <c r="F19" i="16"/>
  <c r="D19" i="16"/>
  <c r="F18" i="16"/>
  <c r="D18" i="16"/>
  <c r="F17" i="16"/>
  <c r="D17" i="16"/>
  <c r="F16" i="16"/>
  <c r="D16" i="16"/>
  <c r="F15" i="16"/>
  <c r="D15" i="16"/>
  <c r="F14" i="16"/>
  <c r="D14" i="16"/>
  <c r="F13" i="16"/>
  <c r="D13" i="16"/>
  <c r="F12" i="16"/>
  <c r="D12" i="16"/>
  <c r="F11" i="16"/>
  <c r="G11" i="16" s="1"/>
  <c r="D11" i="16"/>
  <c r="F19" i="15"/>
  <c r="E19" i="15"/>
  <c r="F18" i="15"/>
  <c r="E18" i="15"/>
  <c r="G18" i="15" s="1"/>
  <c r="F17" i="15"/>
  <c r="E17" i="15"/>
  <c r="F16" i="15"/>
  <c r="E16" i="15"/>
  <c r="H16" i="15" s="1"/>
  <c r="F15" i="15"/>
  <c r="E15" i="15"/>
  <c r="H15" i="15" s="1"/>
  <c r="F14" i="15"/>
  <c r="E14" i="15"/>
  <c r="G14" i="15" s="1"/>
  <c r="F13" i="15"/>
  <c r="E13" i="15"/>
  <c r="H13" i="15" s="1"/>
  <c r="F12" i="15"/>
  <c r="E12" i="15"/>
  <c r="F11" i="15"/>
  <c r="E11" i="15"/>
  <c r="C20" i="15"/>
  <c r="B20" i="15"/>
  <c r="D19" i="15"/>
  <c r="D17" i="15"/>
  <c r="D16" i="15"/>
  <c r="D15" i="15"/>
  <c r="D14" i="15"/>
  <c r="D13" i="15"/>
  <c r="D12" i="15"/>
  <c r="D11" i="15"/>
  <c r="F20" i="14"/>
  <c r="E20" i="14"/>
  <c r="F19" i="14"/>
  <c r="E19" i="14"/>
  <c r="G19" i="14" s="1"/>
  <c r="E18" i="14"/>
  <c r="G18" i="14" s="1"/>
  <c r="F17" i="14"/>
  <c r="E17" i="14"/>
  <c r="G17" i="14" s="1"/>
  <c r="F16" i="14"/>
  <c r="E16" i="14"/>
  <c r="F15" i="14"/>
  <c r="E15" i="14"/>
  <c r="G15" i="14" s="1"/>
  <c r="F14" i="14"/>
  <c r="E14" i="14"/>
  <c r="G14" i="14" s="1"/>
  <c r="F13" i="14"/>
  <c r="E13" i="14"/>
  <c r="G13" i="14" s="1"/>
  <c r="F12" i="14"/>
  <c r="E12" i="14"/>
  <c r="F11" i="14"/>
  <c r="E11" i="14"/>
  <c r="G11" i="14" s="1"/>
  <c r="C21" i="14"/>
  <c r="B21" i="14"/>
  <c r="D20" i="14"/>
  <c r="D19" i="14"/>
  <c r="D18" i="14"/>
  <c r="D17" i="14"/>
  <c r="D16" i="14"/>
  <c r="D15" i="14"/>
  <c r="D14" i="14"/>
  <c r="D12" i="14"/>
  <c r="D11" i="14"/>
  <c r="F12" i="13"/>
  <c r="F13" i="13"/>
  <c r="F14" i="13"/>
  <c r="F15" i="13"/>
  <c r="F16" i="13"/>
  <c r="F17" i="13"/>
  <c r="F18" i="13"/>
  <c r="F19" i="13"/>
  <c r="F11" i="13"/>
  <c r="E12" i="13"/>
  <c r="E13" i="13"/>
  <c r="E14" i="13"/>
  <c r="H14" i="13" s="1"/>
  <c r="E15" i="13"/>
  <c r="H15" i="13" s="1"/>
  <c r="E16" i="13"/>
  <c r="H16" i="13" s="1"/>
  <c r="E17" i="13"/>
  <c r="G17" i="13" s="1"/>
  <c r="E18" i="13"/>
  <c r="G18" i="13" s="1"/>
  <c r="E19" i="13"/>
  <c r="G19" i="13" s="1"/>
  <c r="E11" i="13"/>
  <c r="H11" i="13" s="1"/>
  <c r="E11" i="12"/>
  <c r="C20" i="13"/>
  <c r="B20" i="13"/>
  <c r="D19" i="13"/>
  <c r="D18" i="13"/>
  <c r="D17" i="13"/>
  <c r="D16" i="13"/>
  <c r="D15" i="13"/>
  <c r="D14" i="13"/>
  <c r="D13" i="13"/>
  <c r="D12" i="13"/>
  <c r="D11" i="13"/>
  <c r="F12" i="10"/>
  <c r="F12" i="12"/>
  <c r="F13" i="12"/>
  <c r="F14" i="12"/>
  <c r="F15" i="12"/>
  <c r="F16" i="12"/>
  <c r="F17" i="12"/>
  <c r="F18" i="12"/>
  <c r="F19" i="12"/>
  <c r="F20" i="12"/>
  <c r="F11" i="12"/>
  <c r="E12" i="12"/>
  <c r="H12" i="12" s="1"/>
  <c r="E13" i="12"/>
  <c r="H13" i="12" s="1"/>
  <c r="E14" i="12"/>
  <c r="H14" i="12" s="1"/>
  <c r="E15" i="12"/>
  <c r="G15" i="12" s="1"/>
  <c r="E16" i="12"/>
  <c r="G16" i="12" s="1"/>
  <c r="E17" i="12"/>
  <c r="G17" i="12" s="1"/>
  <c r="E18" i="12"/>
  <c r="G18" i="12" s="1"/>
  <c r="E19" i="12"/>
  <c r="H19" i="12" s="1"/>
  <c r="E20" i="12"/>
  <c r="H20" i="12" s="1"/>
  <c r="D12" i="12"/>
  <c r="D13" i="12"/>
  <c r="D14" i="12"/>
  <c r="D15" i="12"/>
  <c r="D16" i="12"/>
  <c r="D17" i="12"/>
  <c r="D18" i="12"/>
  <c r="D19" i="12"/>
  <c r="D20" i="12"/>
  <c r="D11" i="12"/>
  <c r="C21" i="12"/>
  <c r="B21" i="12"/>
  <c r="E12" i="5"/>
  <c r="F12" i="5"/>
  <c r="F19" i="5"/>
  <c r="E19" i="5"/>
  <c r="F18" i="5"/>
  <c r="E18" i="5"/>
  <c r="F17" i="5"/>
  <c r="E17" i="5"/>
  <c r="F16" i="5"/>
  <c r="E16" i="5"/>
  <c r="H16" i="5" s="1"/>
  <c r="F15" i="5"/>
  <c r="E15" i="5"/>
  <c r="G15" i="5" s="1"/>
  <c r="F14" i="5"/>
  <c r="E14" i="5"/>
  <c r="F13" i="5"/>
  <c r="E13" i="5"/>
  <c r="G13" i="5" s="1"/>
  <c r="F11" i="5"/>
  <c r="E11" i="5"/>
  <c r="G11" i="5" s="1"/>
  <c r="D12" i="5"/>
  <c r="D13" i="5"/>
  <c r="D14" i="5"/>
  <c r="D15" i="5"/>
  <c r="D16" i="5"/>
  <c r="D17" i="5"/>
  <c r="D18" i="5"/>
  <c r="D19" i="5"/>
  <c r="D11" i="5"/>
  <c r="F13" i="10"/>
  <c r="F14" i="10"/>
  <c r="F15" i="10"/>
  <c r="F16" i="10"/>
  <c r="F17" i="10"/>
  <c r="F18" i="10"/>
  <c r="F19" i="10"/>
  <c r="F11" i="10"/>
  <c r="F12" i="11"/>
  <c r="E12" i="10"/>
  <c r="E13" i="10"/>
  <c r="E14" i="10"/>
  <c r="E15" i="10"/>
  <c r="E16" i="10"/>
  <c r="E17" i="10"/>
  <c r="E18" i="10"/>
  <c r="E19" i="10"/>
  <c r="E11" i="10"/>
  <c r="E11" i="11"/>
  <c r="D12" i="10"/>
  <c r="D13" i="10"/>
  <c r="D14" i="10"/>
  <c r="D15" i="10"/>
  <c r="D16" i="10"/>
  <c r="D17" i="10"/>
  <c r="D19" i="10"/>
  <c r="D11" i="10"/>
  <c r="C20" i="10"/>
  <c r="C20" i="5"/>
  <c r="B20" i="10"/>
  <c r="F20" i="8"/>
  <c r="G20" i="8" s="1"/>
  <c r="G19" i="8"/>
  <c r="F18" i="8"/>
  <c r="G18" i="8" s="1"/>
  <c r="F17" i="8"/>
  <c r="G17" i="8" s="1"/>
  <c r="F16" i="8"/>
  <c r="G16" i="8" s="1"/>
  <c r="F15" i="8"/>
  <c r="G15" i="8" s="1"/>
  <c r="F14" i="8"/>
  <c r="G14" i="8"/>
  <c r="F13" i="8"/>
  <c r="G13" i="8" s="1"/>
  <c r="F12" i="8"/>
  <c r="G12" i="8"/>
  <c r="F17" i="11"/>
  <c r="F14" i="11"/>
  <c r="F15" i="11"/>
  <c r="F16" i="11"/>
  <c r="F19" i="11"/>
  <c r="F20" i="11"/>
  <c r="F11" i="11"/>
  <c r="F13" i="11"/>
  <c r="E20" i="11"/>
  <c r="E12" i="11"/>
  <c r="G12" i="11" s="1"/>
  <c r="E13" i="11"/>
  <c r="G13" i="11" s="1"/>
  <c r="E14" i="11"/>
  <c r="E15" i="11"/>
  <c r="E16" i="11"/>
  <c r="E17" i="11"/>
  <c r="E18" i="11"/>
  <c r="E19" i="11"/>
  <c r="H13" i="27" l="1"/>
  <c r="H14" i="27"/>
  <c r="H12" i="27"/>
  <c r="H11" i="27"/>
  <c r="H19" i="27"/>
  <c r="H19" i="26"/>
  <c r="H18" i="26"/>
  <c r="H17" i="26"/>
  <c r="H16" i="26"/>
  <c r="G13" i="26"/>
  <c r="H15" i="26"/>
  <c r="H15" i="25"/>
  <c r="G16" i="25"/>
  <c r="G11" i="24"/>
  <c r="H15" i="24"/>
  <c r="H18" i="24"/>
  <c r="H19" i="24"/>
  <c r="H16" i="23"/>
  <c r="H17" i="23"/>
  <c r="G12" i="22"/>
  <c r="H18" i="22"/>
  <c r="H20" i="22"/>
  <c r="G17" i="22"/>
  <c r="H15" i="21"/>
  <c r="H19" i="21"/>
  <c r="H11" i="21"/>
  <c r="G18" i="21"/>
  <c r="G17" i="21"/>
  <c r="H16" i="20"/>
  <c r="H15" i="20"/>
  <c r="H11" i="20"/>
  <c r="H20" i="20"/>
  <c r="G18" i="19"/>
  <c r="H12" i="19"/>
  <c r="H13" i="19"/>
  <c r="G15" i="19"/>
  <c r="H14" i="19"/>
  <c r="H16" i="19"/>
  <c r="H11" i="18"/>
  <c r="H20" i="18"/>
  <c r="H14" i="18"/>
  <c r="H19" i="18"/>
  <c r="H19" i="17"/>
  <c r="H17" i="17"/>
  <c r="H18" i="17"/>
  <c r="H15" i="17"/>
  <c r="H11" i="17"/>
  <c r="H14" i="17"/>
  <c r="H13" i="17"/>
  <c r="G20" i="16"/>
  <c r="H17" i="15"/>
  <c r="H19" i="15"/>
  <c r="H12" i="15"/>
  <c r="H11" i="15"/>
  <c r="H18" i="14"/>
  <c r="H16" i="14"/>
  <c r="G12" i="14"/>
  <c r="H20" i="14"/>
  <c r="H13" i="13"/>
  <c r="H12" i="13"/>
  <c r="G11" i="12"/>
  <c r="G11" i="10"/>
  <c r="G18" i="10"/>
  <c r="G17" i="10"/>
  <c r="G15" i="10"/>
  <c r="G14" i="10"/>
  <c r="G19" i="10"/>
  <c r="G13" i="10"/>
  <c r="G16" i="10"/>
  <c r="G14" i="5"/>
  <c r="G18" i="5"/>
  <c r="G12" i="5"/>
  <c r="G19" i="5"/>
  <c r="G17" i="5"/>
  <c r="G16" i="11"/>
  <c r="N18" i="40"/>
  <c r="M19" i="40" s="1"/>
  <c r="B5" i="8"/>
  <c r="H16" i="27"/>
  <c r="G13" i="27"/>
  <c r="H17" i="27"/>
  <c r="G14" i="27"/>
  <c r="G18" i="26"/>
  <c r="H11" i="26"/>
  <c r="G15" i="26"/>
  <c r="H13" i="25"/>
  <c r="H19" i="25"/>
  <c r="H16" i="25"/>
  <c r="G17" i="25"/>
  <c r="G13" i="25"/>
  <c r="G14" i="25"/>
  <c r="G15" i="24"/>
  <c r="H11" i="24"/>
  <c r="G18" i="24"/>
  <c r="G11" i="27"/>
  <c r="G18" i="27"/>
  <c r="G15" i="27"/>
  <c r="G12" i="27"/>
  <c r="H12" i="26"/>
  <c r="G20" i="26"/>
  <c r="G17" i="26"/>
  <c r="G14" i="26"/>
  <c r="G19" i="26"/>
  <c r="G16" i="26"/>
  <c r="H13" i="26"/>
  <c r="H11" i="25"/>
  <c r="G18" i="25"/>
  <c r="G15" i="25"/>
  <c r="G12" i="25"/>
  <c r="G17" i="24"/>
  <c r="G12" i="24"/>
  <c r="G16" i="24"/>
  <c r="G19" i="24"/>
  <c r="G12" i="23"/>
  <c r="G16" i="23"/>
  <c r="G13" i="23"/>
  <c r="H18" i="23"/>
  <c r="G11" i="23"/>
  <c r="G15" i="23"/>
  <c r="G19" i="23"/>
  <c r="G14" i="23"/>
  <c r="G17" i="23"/>
  <c r="G15" i="22"/>
  <c r="H14" i="22"/>
  <c r="H17" i="22"/>
  <c r="G18" i="22"/>
  <c r="G20" i="22"/>
  <c r="G13" i="22"/>
  <c r="H12" i="22"/>
  <c r="H19" i="22"/>
  <c r="G11" i="22"/>
  <c r="G16" i="22"/>
  <c r="G13" i="21"/>
  <c r="H17" i="21"/>
  <c r="G14" i="21"/>
  <c r="G15" i="21"/>
  <c r="G19" i="21"/>
  <c r="H16" i="21"/>
  <c r="G11" i="21"/>
  <c r="H18" i="21"/>
  <c r="H12" i="21"/>
  <c r="H18" i="20"/>
  <c r="G15" i="20"/>
  <c r="G20" i="20"/>
  <c r="G16" i="20"/>
  <c r="H19" i="20"/>
  <c r="G13" i="20"/>
  <c r="G12" i="20"/>
  <c r="G17" i="20"/>
  <c r="G14" i="20"/>
  <c r="G11" i="20"/>
  <c r="G16" i="19"/>
  <c r="G12" i="19"/>
  <c r="G13" i="19"/>
  <c r="G17" i="19"/>
  <c r="H18" i="19"/>
  <c r="G19" i="19"/>
  <c r="H11" i="19"/>
  <c r="H15" i="19"/>
  <c r="G14" i="19"/>
  <c r="G17" i="18"/>
  <c r="G13" i="18"/>
  <c r="G14" i="18"/>
  <c r="G18" i="18"/>
  <c r="G11" i="18"/>
  <c r="G15" i="18"/>
  <c r="G19" i="18"/>
  <c r="G12" i="18"/>
  <c r="G16" i="18"/>
  <c r="G20" i="18"/>
  <c r="G18" i="17"/>
  <c r="G17" i="16"/>
  <c r="H20" i="16"/>
  <c r="G16" i="16"/>
  <c r="G17" i="17"/>
  <c r="G14" i="17"/>
  <c r="G11" i="17"/>
  <c r="G15" i="17"/>
  <c r="G12" i="17"/>
  <c r="G19" i="17"/>
  <c r="G16" i="17"/>
  <c r="G13" i="17"/>
  <c r="G18" i="16"/>
  <c r="G15" i="16"/>
  <c r="H11" i="16"/>
  <c r="G19" i="16"/>
  <c r="H18" i="15"/>
  <c r="H14" i="15"/>
  <c r="G12" i="15"/>
  <c r="G16" i="15"/>
  <c r="G13" i="15"/>
  <c r="G17" i="15"/>
  <c r="G11" i="15"/>
  <c r="G15" i="15"/>
  <c r="G19" i="15"/>
  <c r="H15" i="14"/>
  <c r="H13" i="14"/>
  <c r="H17" i="14"/>
  <c r="H11" i="14"/>
  <c r="H19" i="14"/>
  <c r="G16" i="14"/>
  <c r="H14" i="14"/>
  <c r="G20" i="14"/>
  <c r="H12" i="14"/>
  <c r="G11" i="13"/>
  <c r="G16" i="13"/>
  <c r="G15" i="13"/>
  <c r="G14" i="13"/>
  <c r="H18" i="13"/>
  <c r="H17" i="13"/>
  <c r="G13" i="13"/>
  <c r="G12" i="13"/>
  <c r="H19" i="13"/>
  <c r="G20" i="12"/>
  <c r="G12" i="12"/>
  <c r="H11" i="12"/>
  <c r="G19" i="12"/>
  <c r="G14" i="12"/>
  <c r="G13" i="12"/>
  <c r="H18" i="12"/>
  <c r="H17" i="12"/>
  <c r="H16" i="12"/>
  <c r="H15" i="12"/>
  <c r="H11" i="10"/>
  <c r="H18" i="10"/>
  <c r="H15" i="10"/>
  <c r="H17" i="10"/>
  <c r="H16" i="10"/>
  <c r="H14" i="10"/>
  <c r="H13" i="10"/>
  <c r="H12" i="10"/>
  <c r="H19" i="10"/>
  <c r="H17" i="5"/>
  <c r="H19" i="5"/>
  <c r="H11" i="5"/>
  <c r="H18" i="5"/>
  <c r="H15" i="5"/>
  <c r="H14" i="5"/>
  <c r="H13" i="5"/>
  <c r="H12" i="5"/>
  <c r="H13" i="11"/>
  <c r="G16" i="5"/>
  <c r="G15" i="11"/>
  <c r="G14" i="11"/>
  <c r="G19" i="11"/>
  <c r="G20" i="11"/>
  <c r="G18" i="11"/>
  <c r="G17" i="11"/>
  <c r="H20" i="23" l="1"/>
  <c r="B6" i="23" s="1"/>
  <c r="H21" i="18"/>
  <c r="B6" i="18" s="1"/>
  <c r="H20" i="17"/>
  <c r="B6" i="17" s="1"/>
  <c r="G20" i="10"/>
  <c r="B5" i="10" s="1"/>
  <c r="B6" i="10" s="1"/>
  <c r="G20" i="5"/>
  <c r="B5" i="5" s="1"/>
  <c r="B6" i="5" s="1"/>
  <c r="N19" i="40"/>
  <c r="M20" i="40" s="1"/>
  <c r="N20" i="40" s="1"/>
  <c r="M21" i="40" s="1"/>
  <c r="N21" i="40" s="1"/>
  <c r="H20" i="27"/>
  <c r="B6" i="27" s="1"/>
  <c r="H21" i="26"/>
  <c r="B6" i="26" s="1"/>
  <c r="G21" i="26"/>
  <c r="B5" i="26" s="1"/>
  <c r="B7" i="26" s="1"/>
  <c r="H20" i="25"/>
  <c r="B6" i="25" s="1"/>
  <c r="G20" i="25"/>
  <c r="B5" i="25" s="1"/>
  <c r="G20" i="27"/>
  <c r="B5" i="27" s="1"/>
  <c r="G20" i="23"/>
  <c r="B5" i="23" s="1"/>
  <c r="B7" i="23" s="1"/>
  <c r="H21" i="22"/>
  <c r="B6" i="22" s="1"/>
  <c r="G21" i="22"/>
  <c r="B5" i="22" s="1"/>
  <c r="B7" i="22" s="1"/>
  <c r="H20" i="21"/>
  <c r="B6" i="21" s="1"/>
  <c r="G20" i="21"/>
  <c r="B5" i="21" s="1"/>
  <c r="B7" i="21" s="1"/>
  <c r="H21" i="20"/>
  <c r="B6" i="20" s="1"/>
  <c r="G21" i="20"/>
  <c r="B5" i="20" s="1"/>
  <c r="B7" i="20" s="1"/>
  <c r="G20" i="19"/>
  <c r="B5" i="19" s="1"/>
  <c r="B7" i="19" s="1"/>
  <c r="H20" i="19"/>
  <c r="B6" i="19" s="1"/>
  <c r="G21" i="18"/>
  <c r="B5" i="18" s="1"/>
  <c r="B7" i="18" s="1"/>
  <c r="G20" i="17"/>
  <c r="B5" i="17" s="1"/>
  <c r="B7" i="17" s="1"/>
  <c r="H20" i="15"/>
  <c r="D6" i="15" s="1"/>
  <c r="G20" i="15"/>
  <c r="B6" i="15" s="1"/>
  <c r="B7" i="15" s="1"/>
  <c r="H21" i="14"/>
  <c r="D6" i="14" s="1"/>
  <c r="G21" i="14"/>
  <c r="B6" i="14" s="1"/>
  <c r="B7" i="14" s="1"/>
  <c r="H20" i="13"/>
  <c r="D6" i="13" s="1"/>
  <c r="G20" i="13"/>
  <c r="B6" i="13" s="1"/>
  <c r="B7" i="13" s="1"/>
  <c r="G21" i="12"/>
  <c r="B6" i="12" s="1"/>
  <c r="B7" i="12" s="1"/>
  <c r="H21" i="12"/>
  <c r="D6" i="12" s="1"/>
  <c r="H20" i="10"/>
  <c r="D5" i="10" s="1"/>
  <c r="H20" i="5"/>
  <c r="D5" i="5" s="1"/>
  <c r="B6" i="8"/>
  <c r="G21" i="11"/>
  <c r="B5" i="11" s="1"/>
  <c r="B6" i="11" s="1"/>
  <c r="C21" i="11" l="1"/>
  <c r="D11" i="11"/>
  <c r="H11" i="11" s="1"/>
  <c r="D12" i="11"/>
  <c r="H12" i="11" s="1"/>
  <c r="D14" i="11"/>
  <c r="H14" i="11" s="1"/>
  <c r="D15" i="11"/>
  <c r="H15" i="11" s="1"/>
  <c r="D16" i="11"/>
  <c r="H16" i="11" s="1"/>
  <c r="D17" i="11"/>
  <c r="H17" i="11" s="1"/>
  <c r="D18" i="11"/>
  <c r="H18" i="11" s="1"/>
  <c r="D19" i="11"/>
  <c r="H19" i="11" s="1"/>
  <c r="D20" i="11"/>
  <c r="H20" i="11" s="1"/>
  <c r="B21" i="11"/>
  <c r="D12" i="8"/>
  <c r="H12" i="8" s="1"/>
  <c r="D13" i="8"/>
  <c r="H13" i="8" s="1"/>
  <c r="D14" i="8"/>
  <c r="H14" i="8" s="1"/>
  <c r="D15" i="8"/>
  <c r="H15" i="8" s="1"/>
  <c r="D16" i="8"/>
  <c r="H16" i="8" s="1"/>
  <c r="D17" i="8"/>
  <c r="H17" i="8" s="1"/>
  <c r="D18" i="8"/>
  <c r="H18" i="8" s="1"/>
  <c r="D19" i="8"/>
  <c r="H19" i="8" s="1"/>
  <c r="D20" i="8"/>
  <c r="H20" i="8" s="1"/>
  <c r="C21" i="8"/>
  <c r="B21" i="8"/>
  <c r="H21" i="11" l="1"/>
  <c r="D5" i="11" s="1"/>
  <c r="H21" i="8"/>
  <c r="D5" i="8" s="1"/>
  <c r="E20" i="9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I5" i="9"/>
  <c r="F19" i="9" s="1"/>
  <c r="F16" i="9"/>
  <c r="F15" i="9"/>
  <c r="I6" i="9"/>
  <c r="E43" i="6"/>
  <c r="E40" i="6"/>
  <c r="E41" i="6" s="1"/>
  <c r="E42" i="6" s="1"/>
  <c r="E21" i="6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20" i="6"/>
  <c r="I6" i="6"/>
  <c r="F10" i="6" s="1"/>
  <c r="F11" i="6" s="1"/>
  <c r="I5" i="6"/>
  <c r="F19" i="6" s="1"/>
  <c r="F8" i="9" l="1"/>
  <c r="F11" i="9"/>
  <c r="G19" i="6"/>
  <c r="K19" i="6" l="1"/>
  <c r="F20" i="6"/>
  <c r="G20" i="6" s="1"/>
  <c r="F20" i="9" l="1"/>
  <c r="G20" i="9" s="1"/>
  <c r="K19" i="9"/>
  <c r="K20" i="6"/>
  <c r="F21" i="6"/>
  <c r="G21" i="6" s="1"/>
  <c r="F21" i="9" l="1"/>
  <c r="G21" i="9" s="1"/>
  <c r="K20" i="9"/>
  <c r="F22" i="6"/>
  <c r="G22" i="6" s="1"/>
  <c r="K21" i="6"/>
  <c r="F22" i="9" l="1"/>
  <c r="G22" i="9" s="1"/>
  <c r="K21" i="9"/>
  <c r="F23" i="6"/>
  <c r="G23" i="6" s="1"/>
  <c r="K22" i="6"/>
  <c r="F23" i="9" l="1"/>
  <c r="G23" i="9" s="1"/>
  <c r="K22" i="9"/>
  <c r="F24" i="6"/>
  <c r="G24" i="6" s="1"/>
  <c r="K23" i="6"/>
  <c r="K23" i="9" l="1"/>
  <c r="F24" i="9"/>
  <c r="G24" i="9" s="1"/>
  <c r="F25" i="6"/>
  <c r="G25" i="6" s="1"/>
  <c r="K24" i="6"/>
  <c r="K24" i="9" l="1"/>
  <c r="F25" i="9"/>
  <c r="G25" i="9" s="1"/>
  <c r="F26" i="6"/>
  <c r="G26" i="6" s="1"/>
  <c r="K25" i="6"/>
  <c r="F26" i="9" l="1"/>
  <c r="G26" i="9" s="1"/>
  <c r="K25" i="9"/>
  <c r="F27" i="6"/>
  <c r="G27" i="6" s="1"/>
  <c r="K26" i="6"/>
  <c r="K26" i="9" l="1"/>
  <c r="F27" i="9"/>
  <c r="G27" i="9" s="1"/>
  <c r="F28" i="6"/>
  <c r="G28" i="6" s="1"/>
  <c r="K27" i="6"/>
  <c r="K27" i="9" l="1"/>
  <c r="F28" i="9"/>
  <c r="G28" i="9" s="1"/>
  <c r="F29" i="6"/>
  <c r="G29" i="6" s="1"/>
  <c r="K28" i="6"/>
  <c r="K28" i="9" l="1"/>
  <c r="F29" i="9"/>
  <c r="G29" i="9" s="1"/>
  <c r="F30" i="6"/>
  <c r="G30" i="6" s="1"/>
  <c r="K29" i="6"/>
  <c r="F30" i="9" l="1"/>
  <c r="G30" i="9" s="1"/>
  <c r="K29" i="9"/>
  <c r="F31" i="6"/>
  <c r="G31" i="6" s="1"/>
  <c r="K30" i="6"/>
  <c r="F31" i="9" l="1"/>
  <c r="G31" i="9" s="1"/>
  <c r="K30" i="9"/>
  <c r="F32" i="6"/>
  <c r="G32" i="6" s="1"/>
  <c r="K31" i="6"/>
  <c r="F32" i="9" l="1"/>
  <c r="G32" i="9" s="1"/>
  <c r="K31" i="9"/>
  <c r="F33" i="6"/>
  <c r="G33" i="6" s="1"/>
  <c r="K32" i="6"/>
  <c r="F33" i="9" l="1"/>
  <c r="G33" i="9" s="1"/>
  <c r="K32" i="9"/>
  <c r="F34" i="6"/>
  <c r="G34" i="6" s="1"/>
  <c r="K33" i="6"/>
  <c r="F34" i="9" l="1"/>
  <c r="G34" i="9" s="1"/>
  <c r="K33" i="9"/>
  <c r="F35" i="6"/>
  <c r="G35" i="6" s="1"/>
  <c r="K34" i="6"/>
  <c r="F35" i="9" l="1"/>
  <c r="G35" i="9" s="1"/>
  <c r="K34" i="9"/>
  <c r="F36" i="6"/>
  <c r="G36" i="6" s="1"/>
  <c r="K35" i="6"/>
  <c r="F36" i="9" l="1"/>
  <c r="G36" i="9" s="1"/>
  <c r="K35" i="9"/>
  <c r="F37" i="6"/>
  <c r="G37" i="6" s="1"/>
  <c r="K36" i="6"/>
  <c r="K36" i="9" l="1"/>
  <c r="F37" i="9"/>
  <c r="G37" i="9" s="1"/>
  <c r="F38" i="6"/>
  <c r="G38" i="6" s="1"/>
  <c r="K37" i="6"/>
  <c r="K37" i="9" l="1"/>
  <c r="F38" i="9"/>
  <c r="G38" i="9" s="1"/>
  <c r="F39" i="6"/>
  <c r="G39" i="6" s="1"/>
  <c r="K38" i="6"/>
  <c r="K38" i="9" l="1"/>
  <c r="F39" i="9"/>
  <c r="G39" i="9" s="1"/>
  <c r="F40" i="6"/>
  <c r="G40" i="6" s="1"/>
  <c r="K39" i="6"/>
  <c r="K39" i="9" l="1"/>
  <c r="F40" i="9"/>
  <c r="G40" i="9" s="1"/>
  <c r="F41" i="6"/>
  <c r="G41" i="6" s="1"/>
  <c r="K40" i="6"/>
  <c r="F41" i="9" l="1"/>
  <c r="G41" i="9" s="1"/>
  <c r="H44" i="9" s="1"/>
  <c r="K40" i="9"/>
  <c r="F42" i="6"/>
  <c r="G42" i="6" s="1"/>
  <c r="K41" i="6"/>
  <c r="K41" i="9" l="1"/>
  <c r="F43" i="6"/>
  <c r="G43" i="6" s="1"/>
  <c r="K42" i="6"/>
  <c r="K42" i="9" l="1"/>
  <c r="K43" i="9"/>
  <c r="L48" i="9"/>
  <c r="L49" i="9" s="1"/>
  <c r="K43" i="6"/>
  <c r="I19" i="9" l="1"/>
  <c r="I35" i="9"/>
  <c r="I39" i="9"/>
  <c r="I20" i="9"/>
  <c r="I34" i="9"/>
  <c r="I24" i="9"/>
  <c r="I38" i="9"/>
  <c r="I22" i="9"/>
  <c r="I30" i="9"/>
  <c r="I25" i="9"/>
  <c r="I36" i="9"/>
  <c r="I26" i="9"/>
  <c r="I37" i="9"/>
  <c r="I23" i="9"/>
  <c r="I32" i="9"/>
  <c r="I29" i="9"/>
  <c r="I27" i="9"/>
  <c r="I42" i="9"/>
  <c r="I28" i="9"/>
  <c r="I31" i="9"/>
  <c r="I40" i="9"/>
  <c r="I41" i="9"/>
  <c r="I43" i="9"/>
  <c r="I33" i="9"/>
  <c r="I21" i="9"/>
  <c r="H45" i="6" l="1"/>
  <c r="J19" i="9"/>
  <c r="I44" i="9"/>
  <c r="I19" i="6" l="1"/>
  <c r="J19" i="6" s="1"/>
  <c r="L48" i="6"/>
  <c r="L49" i="6" s="1"/>
  <c r="I43" i="6"/>
  <c r="I42" i="6"/>
  <c r="I20" i="6"/>
  <c r="I21" i="6"/>
  <c r="I35" i="6"/>
  <c r="I23" i="6"/>
  <c r="I24" i="6"/>
  <c r="I25" i="6"/>
  <c r="I28" i="6"/>
  <c r="I30" i="6"/>
  <c r="I37" i="6"/>
  <c r="I32" i="6"/>
  <c r="I33" i="6"/>
  <c r="I31" i="6"/>
  <c r="I38" i="6"/>
  <c r="I39" i="6"/>
  <c r="I26" i="6"/>
  <c r="I41" i="6"/>
  <c r="I29" i="6"/>
  <c r="I27" i="6"/>
  <c r="I36" i="6"/>
  <c r="I34" i="6"/>
  <c r="I22" i="6"/>
  <c r="I40" i="6"/>
  <c r="L19" i="9"/>
  <c r="J20" i="9"/>
  <c r="I44" i="6" l="1"/>
  <c r="J20" i="6"/>
  <c r="L19" i="6"/>
  <c r="J21" i="9"/>
  <c r="L20" i="9"/>
  <c r="L20" i="6" l="1"/>
  <c r="J21" i="6"/>
  <c r="J22" i="9"/>
  <c r="L21" i="9"/>
  <c r="L21" i="6" l="1"/>
  <c r="J22" i="6"/>
  <c r="J23" i="9"/>
  <c r="L22" i="9"/>
  <c r="J23" i="6" l="1"/>
  <c r="L22" i="6"/>
  <c r="L23" i="9"/>
  <c r="J24" i="9"/>
  <c r="J24" i="6" l="1"/>
  <c r="L23" i="6"/>
  <c r="L24" i="9"/>
  <c r="J25" i="9"/>
  <c r="L24" i="6" l="1"/>
  <c r="J25" i="6"/>
  <c r="L25" i="9"/>
  <c r="J26" i="9"/>
  <c r="J26" i="6" l="1"/>
  <c r="L25" i="6"/>
  <c r="L26" i="9"/>
  <c r="J27" i="9"/>
  <c r="J27" i="6" l="1"/>
  <c r="L26" i="6"/>
  <c r="J28" i="9"/>
  <c r="L27" i="9"/>
  <c r="J28" i="6" l="1"/>
  <c r="L27" i="6"/>
  <c r="J29" i="9"/>
  <c r="L28" i="9"/>
  <c r="L28" i="6" l="1"/>
  <c r="J29" i="6"/>
  <c r="L29" i="9"/>
  <c r="J30" i="9"/>
  <c r="J30" i="6" l="1"/>
  <c r="L29" i="6"/>
  <c r="L30" i="9"/>
  <c r="J31" i="9"/>
  <c r="L30" i="6" l="1"/>
  <c r="J31" i="6"/>
  <c r="L31" i="9"/>
  <c r="J32" i="9"/>
  <c r="J32" i="6" l="1"/>
  <c r="L31" i="6"/>
  <c r="L32" i="9"/>
  <c r="J33" i="9"/>
  <c r="F8" i="6" l="1"/>
  <c r="J33" i="6"/>
  <c r="L32" i="6"/>
  <c r="J34" i="9"/>
  <c r="L33" i="9"/>
  <c r="E212" i="1"/>
  <c r="D218" i="1"/>
  <c r="B212" i="1"/>
  <c r="A218" i="1"/>
  <c r="D396" i="2"/>
  <c r="J34" i="6" l="1"/>
  <c r="L33" i="6"/>
  <c r="E391" i="2"/>
  <c r="E392" i="2" s="1"/>
  <c r="E396" i="2" s="1"/>
  <c r="D397" i="2" s="1"/>
  <c r="E397" i="2" s="1"/>
  <c r="D398" i="2" s="1"/>
  <c r="E398" i="2" s="1"/>
  <c r="J35" i="9"/>
  <c r="L34" i="9"/>
  <c r="E213" i="1"/>
  <c r="E214" i="1" s="1"/>
  <c r="E218" i="1" s="1"/>
  <c r="D219" i="1" s="1"/>
  <c r="E219" i="1" s="1"/>
  <c r="D220" i="1" s="1"/>
  <c r="E220" i="1" s="1"/>
  <c r="B213" i="1"/>
  <c r="A219" i="1" s="1"/>
  <c r="A220" i="1" s="1"/>
  <c r="B220" i="1" s="1"/>
  <c r="B391" i="2"/>
  <c r="B392" i="2" s="1"/>
  <c r="B396" i="2" l="1"/>
  <c r="A397" i="2" s="1"/>
  <c r="B397" i="2" s="1"/>
  <c r="A398" i="2" s="1"/>
  <c r="B398" i="2" s="1"/>
  <c r="A399" i="2" s="1"/>
  <c r="B399" i="2" s="1"/>
  <c r="A400" i="2" s="1"/>
  <c r="B400" i="2" s="1"/>
  <c r="A401" i="2" s="1"/>
  <c r="B401" i="2" s="1"/>
  <c r="A402" i="2" s="1"/>
  <c r="B402" i="2" s="1"/>
  <c r="A403" i="2" s="1"/>
  <c r="B403" i="2" s="1"/>
  <c r="A404" i="2" s="1"/>
  <c r="B404" i="2" s="1"/>
  <c r="A405" i="2" s="1"/>
  <c r="B405" i="2" s="1"/>
  <c r="J35" i="6"/>
  <c r="L34" i="6"/>
  <c r="L35" i="9"/>
  <c r="J36" i="9"/>
  <c r="D221" i="1"/>
  <c r="E221" i="1" s="1"/>
  <c r="A221" i="1"/>
  <c r="B221" i="1" s="1"/>
  <c r="D399" i="2"/>
  <c r="E399" i="2" s="1"/>
  <c r="J36" i="6" l="1"/>
  <c r="L35" i="6"/>
  <c r="J37" i="9"/>
  <c r="L36" i="9"/>
  <c r="D222" i="1"/>
  <c r="E222" i="1" s="1"/>
  <c r="A222" i="1"/>
  <c r="B222" i="1" s="1"/>
  <c r="D400" i="2"/>
  <c r="E400" i="2" s="1"/>
  <c r="J37" i="6" l="1"/>
  <c r="L36" i="6"/>
  <c r="J38" i="9"/>
  <c r="L37" i="9"/>
  <c r="D223" i="1"/>
  <c r="E223" i="1" s="1"/>
  <c r="A223" i="1"/>
  <c r="B223" i="1" s="1"/>
  <c r="D401" i="2"/>
  <c r="E401" i="2" s="1"/>
  <c r="J38" i="6" l="1"/>
  <c r="L37" i="6"/>
  <c r="J39" i="9"/>
  <c r="L38" i="9"/>
  <c r="D224" i="1"/>
  <c r="E224" i="1" s="1"/>
  <c r="A224" i="1"/>
  <c r="B224" i="1" s="1"/>
  <c r="D402" i="2"/>
  <c r="E402" i="2" s="1"/>
  <c r="L38" i="6" l="1"/>
  <c r="J39" i="6"/>
  <c r="L39" i="9"/>
  <c r="J40" i="9"/>
  <c r="D225" i="1"/>
  <c r="E225" i="1" s="1"/>
  <c r="A225" i="1"/>
  <c r="B225" i="1" s="1"/>
  <c r="A226" i="1" s="1"/>
  <c r="D403" i="2"/>
  <c r="E403" i="2" s="1"/>
  <c r="L39" i="6" l="1"/>
  <c r="J40" i="6"/>
  <c r="L40" i="9"/>
  <c r="J41" i="9"/>
  <c r="D226" i="1"/>
  <c r="E226" i="1" s="1"/>
  <c r="D404" i="2"/>
  <c r="E404" i="2" s="1"/>
  <c r="L40" i="6" l="1"/>
  <c r="J41" i="6"/>
  <c r="L41" i="9"/>
  <c r="J42" i="9"/>
  <c r="D405" i="2"/>
  <c r="E405" i="2" s="1"/>
  <c r="L41" i="6" l="1"/>
  <c r="J42" i="6"/>
  <c r="J43" i="9"/>
  <c r="L43" i="9" s="1"/>
  <c r="L42" i="9"/>
  <c r="B210" i="1"/>
  <c r="E388" i="2"/>
  <c r="L46" i="9" l="1"/>
  <c r="L51" i="9" s="1"/>
  <c r="J43" i="6"/>
  <c r="L43" i="6" s="1"/>
  <c r="L42" i="6"/>
  <c r="L44" i="9"/>
  <c r="L44" i="6" l="1"/>
  <c r="L46" i="6"/>
  <c r="L51" i="6" s="1"/>
  <c r="H12" i="16"/>
  <c r="G13" i="16"/>
  <c r="H13" i="16"/>
  <c r="G14" i="16"/>
  <c r="H14" i="16"/>
  <c r="H21" i="16" l="1"/>
  <c r="B6" i="16" s="1"/>
  <c r="G21" i="16"/>
  <c r="B5" i="16" s="1"/>
  <c r="B7" i="16" s="1"/>
  <c r="G13" i="24"/>
  <c r="H13" i="24"/>
  <c r="G14" i="24"/>
  <c r="H14" i="24"/>
  <c r="H21" i="24" l="1"/>
  <c r="B6" i="24" s="1"/>
  <c r="G21" i="24"/>
  <c r="B5" i="24" s="1"/>
  <c r="B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tc={483C0F56-4E6B-41F5-BD5B-CC136D108C90}</author>
  </authors>
  <commentList>
    <comment ref="K114" authorId="0" shapeId="0" xr:uid="{483C0F56-4E6B-41F5-BD5B-CC136D108C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Medir con el ImageJ
Respuesta:
    Medir gonopterigios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tc={C75B7FF5-72C2-49C9-8202-5E8BF91CC66F}</author>
    <author>tc={40174B70-9C8F-4AEC-B864-9BF1A28C8C56}</author>
    <author>tc={2508823E-A3C9-4365-BBE0-A0D676485FCC}</author>
    <author>tc={20420CCE-E8D9-4DF0-9AD7-1CA5D029CC31}</author>
    <author>tc={4EC4CC3E-6F53-4B5D-90A2-7AAEBC9DF552}</author>
    <author>tc={7CC8EA58-6506-4488-9452-A78E00DB1611}</author>
    <author>tc={7FA03A7D-89E4-4EE2-9536-FE823A83AB91}</author>
    <author>tc={5FE1FFA0-883F-473B-8FBC-CDBDB8813D94}</author>
    <author>tc={5D5ACD9F-80C4-49E5-8CBE-75A8C9611B15}</author>
    <author>tc={B4EE3FEE-5372-4541-A366-10BE453C8828}</author>
  </authors>
  <commentList>
    <comment ref="K6" authorId="0" shapeId="0" xr:uid="{C75B7FF5-72C2-49C9-8202-5E8BF91CC6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</t>
      </text>
    </comment>
    <comment ref="K7" authorId="1" shapeId="0" xr:uid="{40174B70-9C8F-4AEC-B864-9BF1A28C8C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</t>
      </text>
    </comment>
    <comment ref="K10" authorId="2" shapeId="0" xr:uid="{2508823E-A3C9-4365-BBE0-A0D676485FC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
</t>
      </text>
    </comment>
    <comment ref="K11" authorId="3" shapeId="0" xr:uid="{20420CCE-E8D9-4DF0-9AD7-1CA5D029CC3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
</t>
      </text>
    </comment>
    <comment ref="K12" authorId="4" shapeId="0" xr:uid="{4EC4CC3E-6F53-4B5D-90A2-7AAEBC9DF5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Medir con el imageJ program</t>
      </text>
    </comment>
    <comment ref="K17" authorId="5" shapeId="0" xr:uid="{7CC8EA58-6506-4488-9452-A78E00DB16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Sin fotos</t>
      </text>
    </comment>
    <comment ref="K22" authorId="6" shapeId="0" xr:uid="{7FA03A7D-89E4-4EE2-9536-FE823A83AB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</t>
      </text>
    </comment>
    <comment ref="K26" authorId="7" shapeId="0" xr:uid="{5FE1FFA0-883F-473B-8FBC-CDBDB8813D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Revisado en hoja de campo, no se tiene fotografia de gonadas</t>
      </text>
    </comment>
    <comment ref="K41" authorId="8" shapeId="0" xr:uid="{5D5ACD9F-80C4-49E5-8CBE-75A8C9611B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Estado Juvenil Premaduro</t>
      </text>
    </comment>
    <comment ref="K47" authorId="9" shapeId="0" xr:uid="{B4EE3FEE-5372-4541-A366-10BE453C88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Medir en el ImageJ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<sst xmlns="http://schemas.openxmlformats.org/spreadsheetml/2006/main" count="7327" uniqueCount="682">
  <si>
    <t>Collection Code</t>
  </si>
  <si>
    <t>Collection No.</t>
  </si>
  <si>
    <t>Data Entered By</t>
  </si>
  <si>
    <t>Collection Date [mm/dd/yyyy]</t>
  </si>
  <si>
    <t>Collection Depth [in meters]</t>
  </si>
  <si>
    <t>Sex ["male", "female" or "?"]</t>
  </si>
  <si>
    <t>Maturity</t>
  </si>
  <si>
    <t>Total Length [in cm]</t>
  </si>
  <si>
    <t>PreCaudal Length [in cm]</t>
  </si>
  <si>
    <t>Tenacle Lenght (cm)</t>
  </si>
  <si>
    <t>Left Clasper Length (cm)</t>
  </si>
  <si>
    <t>Right Clasper Length (cm)</t>
  </si>
  <si>
    <t>Left Testicle length and width (cm)</t>
  </si>
  <si>
    <t>Right Testicle length and width (cm)</t>
  </si>
  <si>
    <t>Left Seminal Gland (cm)</t>
  </si>
  <si>
    <t>Right Seminal Gland (cm)</t>
  </si>
  <si>
    <t>Left epididymis (cm)</t>
  </si>
  <si>
    <t>Right epididymis (cm)</t>
  </si>
  <si>
    <t>Left Uterus (cm)</t>
  </si>
  <si>
    <t>Right Uterus (cm)</t>
  </si>
  <si>
    <t>Left Nidamental gland (cm)</t>
  </si>
  <si>
    <t>Right Nidamental gland (cm)</t>
  </si>
  <si>
    <t>Left previtellogenic oocytes (n)</t>
  </si>
  <si>
    <t>Right previtellogenic oocytes (n)</t>
  </si>
  <si>
    <t>Left vitellogenic oocytes (n)</t>
  </si>
  <si>
    <t>Rigth vitellogenic oocytes (n)</t>
  </si>
  <si>
    <t xml:space="preserve">Left occyte </t>
  </si>
  <si>
    <t xml:space="preserve">Right oocyte </t>
  </si>
  <si>
    <t>Left capsule</t>
  </si>
  <si>
    <t>Right capsule</t>
  </si>
  <si>
    <t>Total Weight (gr)</t>
  </si>
  <si>
    <t>Liver Weight (gr)</t>
  </si>
  <si>
    <t>Gonad Weight (gr)</t>
  </si>
  <si>
    <t>CCM</t>
  </si>
  <si>
    <t>M. Labbe</t>
  </si>
  <si>
    <t>female</t>
  </si>
  <si>
    <t>P. Vivian</t>
  </si>
  <si>
    <t>01/29/2020</t>
  </si>
  <si>
    <t>S. Cona</t>
  </si>
  <si>
    <t>mature</t>
  </si>
  <si>
    <t>inmature</t>
  </si>
  <si>
    <t>R. Gonzalez</t>
  </si>
  <si>
    <t>01/25/2021</t>
  </si>
  <si>
    <t>M. Moreno</t>
  </si>
  <si>
    <t>male</t>
  </si>
  <si>
    <t>22,86-23,59</t>
  </si>
  <si>
    <t>P. Tobar-Parra</t>
  </si>
  <si>
    <t xml:space="preserve">M. Moreno </t>
  </si>
  <si>
    <t>3,4-3,1-2,6-2,8-2,4-3,0-2,0-1,4</t>
  </si>
  <si>
    <t>1,4-1,.6-1,7-2,3-1,5-1,4-2,3-1,4-2,9-2,0</t>
  </si>
  <si>
    <t>4,3(L)-2,6(A)</t>
  </si>
  <si>
    <t>4,44(L)-3(A)</t>
  </si>
  <si>
    <t>7,9(L)-1,1(A)</t>
  </si>
  <si>
    <t>8,4(L)-1,1(A)</t>
  </si>
  <si>
    <t>1,6(L)-2,4(A)</t>
  </si>
  <si>
    <t>2,24(L)-2,85(A)</t>
  </si>
  <si>
    <t>4,24(L)-2,65(A)</t>
  </si>
  <si>
    <t>4,13(L)-2,76(A)</t>
  </si>
  <si>
    <t>8,32(L)-(1,75(A)</t>
  </si>
  <si>
    <t>8,24(L)-1,6(A)</t>
  </si>
  <si>
    <t>3,92(L)-2,74(A)</t>
  </si>
  <si>
    <t>4,5(L)-2,25(A)</t>
  </si>
  <si>
    <t>9,33(L)-4,69(A)</t>
  </si>
  <si>
    <t>9,1(L)-4,71(A)</t>
  </si>
  <si>
    <t>6,45(L)-4,84(A)</t>
  </si>
  <si>
    <t>6,8(L)-4,69(A)</t>
  </si>
  <si>
    <t>2,74(L)-2,5(A)</t>
  </si>
  <si>
    <t>1,8(L)-1,8(A)</t>
  </si>
  <si>
    <t>13(L)-5,3(A)</t>
  </si>
  <si>
    <t>4,7(A)</t>
  </si>
  <si>
    <t>2,4-1,8-2,9-1,2-1,5-1,5-1-1-1,2</t>
  </si>
  <si>
    <t>2,6-2,7-3,2-2-1,9</t>
  </si>
  <si>
    <t>10,5(L)</t>
  </si>
  <si>
    <t>9,46(L)</t>
  </si>
  <si>
    <t>5,8(L)-2,8(A)</t>
  </si>
  <si>
    <t>1,2(L)-1,1(A)</t>
  </si>
  <si>
    <t>7,9(L)-4,4(A)</t>
  </si>
  <si>
    <t>7,44(L)-4,36(A)</t>
  </si>
  <si>
    <t>6,32(L)</t>
  </si>
  <si>
    <t>6,5(L)</t>
  </si>
  <si>
    <t>3,6(L)-2,2(A)</t>
  </si>
  <si>
    <t>?</t>
  </si>
  <si>
    <t>7,9(L)-3,1(A)</t>
  </si>
  <si>
    <t>7,8(L)-4,03(A)</t>
  </si>
  <si>
    <t>7,5(L)-4,13(A)</t>
  </si>
  <si>
    <t>5(L)-1,15(A)</t>
  </si>
  <si>
    <t>5,7(L)-4,11(A)</t>
  </si>
  <si>
    <t>1,3(L)-0,8(A)</t>
  </si>
  <si>
    <t>Rodolfo</t>
  </si>
  <si>
    <t>7,67(L)-4,54(A)</t>
  </si>
  <si>
    <t>7,88(L)-4,45(A)</t>
  </si>
  <si>
    <t>5,74(L)-3,89(A)</t>
  </si>
  <si>
    <t>6,37(L)-1,19(A)</t>
  </si>
  <si>
    <t>0,9(L)-0,5(A)</t>
  </si>
  <si>
    <t>7(L)-3,84(A)</t>
  </si>
  <si>
    <t>7,08(L)-3,7(A)</t>
  </si>
  <si>
    <t>6,3(L)-0,93(A)</t>
  </si>
  <si>
    <t>6,26(L)-0,6(A)</t>
  </si>
  <si>
    <t>8,66(L)-1,05(A)</t>
  </si>
  <si>
    <t>5,6(L)-3,23(A)</t>
  </si>
  <si>
    <t>5,69(L)-3,5(A)</t>
  </si>
  <si>
    <t>6,74(L)-0,81(A)</t>
  </si>
  <si>
    <t>11,74(L)-6,1(A)</t>
  </si>
  <si>
    <t>8,44(L)-5,82(A)</t>
  </si>
  <si>
    <t>3,06(L)-3,23(A)</t>
  </si>
  <si>
    <t>4,66(L)-2,68(A)</t>
  </si>
  <si>
    <t>4,23(L)-2,48(A)</t>
  </si>
  <si>
    <t>1,2(L)-0,4(A)</t>
  </si>
  <si>
    <t>14,12(L)-5,98(A)</t>
  </si>
  <si>
    <t>8,5(L)-4,96(A)</t>
  </si>
  <si>
    <t>12,2(L)-2,3(A)</t>
  </si>
  <si>
    <t>4,1(L)-2,7(A)</t>
  </si>
  <si>
    <t>7,73(L)-4,38(A)</t>
  </si>
  <si>
    <t>9,15(L)-3,54(A)</t>
  </si>
  <si>
    <t>8,47(L)-1,93(A)</t>
  </si>
  <si>
    <t>4,61(L)-2,2(A)</t>
  </si>
  <si>
    <t>6,21(L)-0,29(A)</t>
  </si>
  <si>
    <t>1,1(L)-0,6(A)</t>
  </si>
  <si>
    <t>0,8(L)-0,5(A)</t>
  </si>
  <si>
    <t>0,86(L)-0,47(A)</t>
  </si>
  <si>
    <t>4,2(L)-4,3(A)</t>
  </si>
  <si>
    <t>18,2(L)-4,1(A)</t>
  </si>
  <si>
    <t>12,4(L)-3,4(A)</t>
  </si>
  <si>
    <t>7,7(L)-5,2(A)</t>
  </si>
  <si>
    <t>8,2(L)-5,3(A)</t>
  </si>
  <si>
    <t>3,8(L)-3,1(A)</t>
  </si>
  <si>
    <t>3,4(L)-3,5(A)</t>
  </si>
  <si>
    <t>7,42(L)-3,96(A)</t>
  </si>
  <si>
    <t>8(L)-4,38(A)</t>
  </si>
  <si>
    <t>14,22(L)</t>
  </si>
  <si>
    <t>12,93(L)</t>
  </si>
  <si>
    <t>8,1(L)</t>
  </si>
  <si>
    <t>8,6(L)</t>
  </si>
  <si>
    <t>6,6(L)</t>
  </si>
  <si>
    <t>6,1(L)</t>
  </si>
  <si>
    <t>3,53(L)-3,36(A)</t>
  </si>
  <si>
    <t>7,8(L)-4(A)</t>
  </si>
  <si>
    <t>7,4(L)-1,1(A)</t>
  </si>
  <si>
    <t>6,69(L)-3.62(A)</t>
  </si>
  <si>
    <t>6,55(L)-4,15(A)</t>
  </si>
  <si>
    <t>4,4(L)-2,9(A)</t>
  </si>
  <si>
    <t>1,13(L)-0,66(A)</t>
  </si>
  <si>
    <t>0,77(L)-0,66(A)</t>
  </si>
  <si>
    <t>0,6(L)-0,6(A)</t>
  </si>
  <si>
    <t>0,75(L)-0,45(A)</t>
  </si>
  <si>
    <t>0,77(L)-0,57(A)</t>
  </si>
  <si>
    <t>0,85(L)-0,58(A)</t>
  </si>
  <si>
    <t>0,83(L)-0,41(A)</t>
  </si>
  <si>
    <t>1,04(L)-0,66(A)</t>
  </si>
  <si>
    <t>1,02(L)-0,54(A)</t>
  </si>
  <si>
    <t>3(L)-1,2(A)</t>
  </si>
  <si>
    <t>8,05(L)-4,2(A)</t>
  </si>
  <si>
    <t>7,51(L)-4,2(A)</t>
  </si>
  <si>
    <t>7,27(L)-0,91(A)</t>
  </si>
  <si>
    <t>8,72(L)-0,92(A)</t>
  </si>
  <si>
    <t>7,7(L)-4,84(A)</t>
  </si>
  <si>
    <t>7,25(L)-4,44(A)</t>
  </si>
  <si>
    <t>7,03(L)-0,86(A)</t>
  </si>
  <si>
    <t>7,3(L)-3,63(A)</t>
  </si>
  <si>
    <t>7,54(L)-3,96(A)</t>
  </si>
  <si>
    <t>7,7(L)-0,64(A)</t>
  </si>
  <si>
    <t>6,01(L)-3,31(A)</t>
  </si>
  <si>
    <t>6,31(L)-3,44(A)</t>
  </si>
  <si>
    <t>5,06(L)-0,66(A)</t>
  </si>
  <si>
    <t>5,98(L)-0,9(A)</t>
  </si>
  <si>
    <t>1,05(A)</t>
  </si>
  <si>
    <t>1,89(L)-0,91(A)</t>
  </si>
  <si>
    <t>6,24(L)-0,4(A)</t>
  </si>
  <si>
    <t>6,5(L)-0,6(A)</t>
  </si>
  <si>
    <t>4,35(L)-2,22(A)</t>
  </si>
  <si>
    <t>4,44(L)-2,92(A)</t>
  </si>
  <si>
    <t>7,7(L)-4,1(A)</t>
  </si>
  <si>
    <t>5,3(L)-0,9(A)</t>
  </si>
  <si>
    <t>1,8(L)-2,23(A)</t>
  </si>
  <si>
    <t>2,12(L)-1,91(A)</t>
  </si>
  <si>
    <t>7,77(L)-0,87(A)</t>
  </si>
  <si>
    <t>8,33(L)-0,61(A)</t>
  </si>
  <si>
    <t>1,1(L)-0,45(A)</t>
  </si>
  <si>
    <t>0,98(L)-0,54(A)</t>
  </si>
  <si>
    <t>6,5(L)-4,01(A)</t>
  </si>
  <si>
    <t>6,44(L)-3,03(A)</t>
  </si>
  <si>
    <t>6,61(L)-0,71(A)</t>
  </si>
  <si>
    <t>6,62(L)-0,62(A)</t>
  </si>
  <si>
    <t>5,06(L)-3,07(A)</t>
  </si>
  <si>
    <t>3,74(L)-3,01(A)</t>
  </si>
  <si>
    <t>1,6(L)-1,13(A)</t>
  </si>
  <si>
    <t>1,62(L)-1,27(A)</t>
  </si>
  <si>
    <t>7,28(L)-3,89(A)</t>
  </si>
  <si>
    <t>8,08(L)-4,51(A)</t>
  </si>
  <si>
    <t>8,09(L)-1,01(A)</t>
  </si>
  <si>
    <t>8,28(L)-0,93(A)</t>
  </si>
  <si>
    <t>1,8(L)-1(A)</t>
  </si>
  <si>
    <t>1,6(L)-0,9(A)</t>
  </si>
  <si>
    <t>1,96(L)-1,26(A)</t>
  </si>
  <si>
    <t>2,15(L)-1,25(A)</t>
  </si>
  <si>
    <t>7,2(L)-4(A)</t>
  </si>
  <si>
    <t>7(L)-4(A)</t>
  </si>
  <si>
    <t>7,4(L)-0,6(A)</t>
  </si>
  <si>
    <t>7,5(L)-0,65(A)</t>
  </si>
  <si>
    <t>9,6(L)-3,1(A)</t>
  </si>
  <si>
    <t>9,65(L)-2,8(A)</t>
  </si>
  <si>
    <t>-</t>
  </si>
  <si>
    <t>0,83(L)-0,80(A)</t>
  </si>
  <si>
    <t>1,13(L)-1,10(A)</t>
  </si>
  <si>
    <t>08/30/2021</t>
  </si>
  <si>
    <t>6,52(L)-3,01(A)</t>
  </si>
  <si>
    <t>6,31(L)-3,28(A)</t>
  </si>
  <si>
    <t>8,16(L)-1,01(A)</t>
  </si>
  <si>
    <t>7,72(L)-1,24(A)</t>
  </si>
  <si>
    <t>5,97(L)-3,5(A)</t>
  </si>
  <si>
    <t>5,7(L)-3,62(A)</t>
  </si>
  <si>
    <t>2,02(L)-1,28(A)</t>
  </si>
  <si>
    <t>1,96(L)-1,11(A)</t>
  </si>
  <si>
    <t>7,2(L)-4,5(A)</t>
  </si>
  <si>
    <t>7,3(L)-4,2(A)</t>
  </si>
  <si>
    <t>5,78(L)-3,59(A)</t>
  </si>
  <si>
    <t>5,41(L)-3,71(A)</t>
  </si>
  <si>
    <t>1,2(L)-1,4(A)</t>
  </si>
  <si>
    <t>1,4(L)-1,9(A)</t>
  </si>
  <si>
    <t>1,2(L)-1,3(A)</t>
  </si>
  <si>
    <t>5,25(L)-2,19(A)</t>
  </si>
  <si>
    <t>5,47(L)-2,46(A)</t>
  </si>
  <si>
    <t>6,27(L)-1,09(A)</t>
  </si>
  <si>
    <t>7,03(L)-0,75(A)</t>
  </si>
  <si>
    <t>1,37(L)-0,51(A)</t>
  </si>
  <si>
    <t>1,39(L)-0,55(A)</t>
  </si>
  <si>
    <t>0,9(L)-0,6(A)</t>
  </si>
  <si>
    <t>0,7(L)-0,4(A)</t>
  </si>
  <si>
    <t>6,40(L)</t>
  </si>
  <si>
    <t>6,36(L)</t>
  </si>
  <si>
    <t>9,03(L)</t>
  </si>
  <si>
    <t>10,87(L)</t>
  </si>
  <si>
    <t>11,14(L)</t>
  </si>
  <si>
    <t>622(L)-3,65(A)</t>
  </si>
  <si>
    <t>6,96(L)-3,61(A)</t>
  </si>
  <si>
    <t>6,54(L)-0,68(A)</t>
  </si>
  <si>
    <t>7,74(L)-0,97(A)</t>
  </si>
  <si>
    <t>6,08(L)-3,2(A)</t>
  </si>
  <si>
    <t>6,1(L)-3,5(A)</t>
  </si>
  <si>
    <t>7,8(L)-4,1(A)</t>
  </si>
  <si>
    <t>7,1(L)-4,1(A)</t>
  </si>
  <si>
    <t>6,24(L)-3,64(A)</t>
  </si>
  <si>
    <t>6,66(L)-3,71(A)</t>
  </si>
  <si>
    <t>7,89(L)-1,26(A)</t>
  </si>
  <si>
    <t>7,48(L)-1,05(A)</t>
  </si>
  <si>
    <t>7,27(L)-3,55(A)</t>
  </si>
  <si>
    <t>6,83(L)-3,65(A)</t>
  </si>
  <si>
    <t>6,43(L)-1,3(A)</t>
  </si>
  <si>
    <t>6,73(L)-1,34(A)</t>
  </si>
  <si>
    <t>1,05(L)-0,81(A)</t>
  </si>
  <si>
    <t>5,9(L)-3,3(A)</t>
  </si>
  <si>
    <t>6,1(L)-4,1(A)</t>
  </si>
  <si>
    <t>6,04(L)-3,22(A)</t>
  </si>
  <si>
    <t>6,41(L)-2,47(A)</t>
  </si>
  <si>
    <t>6,07(L)-0,85(A)</t>
  </si>
  <si>
    <t>6,79(L)-1,17(A)</t>
  </si>
  <si>
    <t>6,4(L)-4,08A)</t>
  </si>
  <si>
    <t>6,2(L)-4,3(A)</t>
  </si>
  <si>
    <t>9,,2</t>
  </si>
  <si>
    <t>7,11(L)-3,45(A)</t>
  </si>
  <si>
    <t>7,1(L)-3,11(A)</t>
  </si>
  <si>
    <t>7,93(L)-1,28(A)</t>
  </si>
  <si>
    <t>7,81(L)-1,08(A)</t>
  </si>
  <si>
    <t>3,4(L)-2,3(A)</t>
  </si>
  <si>
    <t>3,9(L)-2,8(A)</t>
  </si>
  <si>
    <t>4,9(L)-2,9(A)</t>
  </si>
  <si>
    <t>5,2(L)-2,97(A)</t>
  </si>
  <si>
    <t>5,41(L)-2,95(A)</t>
  </si>
  <si>
    <t>5,41(L)-3,04(A)</t>
  </si>
  <si>
    <t>6,65(L)-1,49(A)</t>
  </si>
  <si>
    <t>7,06(L)-1,06(A)</t>
  </si>
  <si>
    <t>5,25(L)-3,12(A)</t>
  </si>
  <si>
    <t>5,78(L)-3,18(A)</t>
  </si>
  <si>
    <t>7,23(L)-1,56(A)</t>
  </si>
  <si>
    <t>7,56(L)-1,23(A)</t>
  </si>
  <si>
    <t>4,1(L)-2,33(A)</t>
  </si>
  <si>
    <t>4,2(L)-2,5(A)</t>
  </si>
  <si>
    <t>0,9-0,9-0,5</t>
  </si>
  <si>
    <t>1,2-1,04-1,2</t>
  </si>
  <si>
    <t>5,78(L)-3,02(A)</t>
  </si>
  <si>
    <t>5,34(L)-3,23(A)</t>
  </si>
  <si>
    <t>1(L)-1,2(A)</t>
  </si>
  <si>
    <t>7,48(L)-3,44(A)</t>
  </si>
  <si>
    <t>6,9(L)-3,7(A)</t>
  </si>
  <si>
    <t>8,48(L)-1,78(A)</t>
  </si>
  <si>
    <t>8,32(L)-1,46(A)</t>
  </si>
  <si>
    <t>1,1(L)-1,1(A)</t>
  </si>
  <si>
    <t>5,3(l)-3,3(a)</t>
  </si>
  <si>
    <t>6,1(l)-3,3(a)</t>
  </si>
  <si>
    <t>7,9(l)-1,4(a)</t>
  </si>
  <si>
    <t>7,2(l)-1,2(a)</t>
  </si>
  <si>
    <t>6,18(L)-2,99(A)</t>
  </si>
  <si>
    <t>6,25(L)-3,51(A)</t>
  </si>
  <si>
    <t>7,24(L)-0,99(A)</t>
  </si>
  <si>
    <t>7,41(L)-1,09(A)</t>
  </si>
  <si>
    <t>6,56(L)-3,14(A)</t>
  </si>
  <si>
    <t>6,08(L)-3,02(A)</t>
  </si>
  <si>
    <t>6,54(L)-3,83(A)</t>
  </si>
  <si>
    <t>6,98(L)-3,24(A)</t>
  </si>
  <si>
    <t>7,23(L)-0,9(A)</t>
  </si>
  <si>
    <t>7,2(L)-0,8(A)</t>
  </si>
  <si>
    <t>20-40</t>
  </si>
  <si>
    <t>Valentina Pérez</t>
  </si>
  <si>
    <t xml:space="preserve">A. General </t>
  </si>
  <si>
    <t>L: 6,65 A:3,53</t>
  </si>
  <si>
    <t>L: 6,8 A: 4,41</t>
  </si>
  <si>
    <t>L: 1,5 A: 1,52</t>
  </si>
  <si>
    <t xml:space="preserve">- </t>
  </si>
  <si>
    <t>L: 6,74 A: 3,57</t>
  </si>
  <si>
    <t>L: 7,2 A: 3,64</t>
  </si>
  <si>
    <t>L: 6,13 A: 3,48</t>
  </si>
  <si>
    <t>L: 6,78 A: 3,24</t>
  </si>
  <si>
    <t>L: 5,26 A: 2,92</t>
  </si>
  <si>
    <t>L: 4,91 A: 2,91</t>
  </si>
  <si>
    <t>L: 5 A: 2,45</t>
  </si>
  <si>
    <t>L: 4,9 A: 2,23</t>
  </si>
  <si>
    <t>L: 5,56 A: 2,19</t>
  </si>
  <si>
    <t>L: 5,5 A: 2,76</t>
  </si>
  <si>
    <t>unknow</t>
  </si>
  <si>
    <t>L: 5,17 A: 3,37</t>
  </si>
  <si>
    <t>L: 5,22 A: 3,23</t>
  </si>
  <si>
    <t>L: 3,03 A: 3,14</t>
  </si>
  <si>
    <t>11/15/2021</t>
  </si>
  <si>
    <t>L: 4,78 A: 2,7</t>
  </si>
  <si>
    <t xml:space="preserve">L:  5,45 A:2,34 </t>
  </si>
  <si>
    <t>12/13/2021</t>
  </si>
  <si>
    <t>L: 20,7 A: 8,18</t>
  </si>
  <si>
    <t>L: 20,1 A: 8,1</t>
  </si>
  <si>
    <t>L: 3,5 A: 3,5</t>
  </si>
  <si>
    <t>L: 3,3 A: 2</t>
  </si>
  <si>
    <t>L: 3,12 A: 1,8</t>
  </si>
  <si>
    <t>L: 4,21 A: 2,17</t>
  </si>
  <si>
    <t>L: 4,24 A: 2,25</t>
  </si>
  <si>
    <t>L: 5,52 A: 3,22</t>
  </si>
  <si>
    <t>L: 5,74 A: 3,25</t>
  </si>
  <si>
    <t>L: 5,64 A: 2,5</t>
  </si>
  <si>
    <t>L: 5,27 A: 3,1</t>
  </si>
  <si>
    <t>L: 2,85 A: 2,89</t>
  </si>
  <si>
    <t>L: 2,91 A: 3,05</t>
  </si>
  <si>
    <t>L: 4,3 A: 2,6</t>
  </si>
  <si>
    <t>L: 4,25 A: 2,64</t>
  </si>
  <si>
    <t>L: 3,6 A: 2,23</t>
  </si>
  <si>
    <t>L: 3,89 A: 2,27</t>
  </si>
  <si>
    <t>L: 3,65 A: 2,43</t>
  </si>
  <si>
    <t>L: 4,2 A: 2,05</t>
  </si>
  <si>
    <t>L: 3,31 A: 2,2</t>
  </si>
  <si>
    <t>L: 3,21 A: 2,32</t>
  </si>
  <si>
    <t>L: 3,51 A: 2,91</t>
  </si>
  <si>
    <t>L: 3,83 A: 2,52</t>
  </si>
  <si>
    <t>L: 3,1 A: 2,1</t>
  </si>
  <si>
    <t>L: 3,3 A: 1,8</t>
  </si>
  <si>
    <t>L: 3,22 A: 1,85</t>
  </si>
  <si>
    <t>L: 3,41 A: 1,90</t>
  </si>
  <si>
    <t>L: 3,72 A: 2,81</t>
  </si>
  <si>
    <t>L: 3,97 A: 3,21</t>
  </si>
  <si>
    <t>L: 3,76 A: 2,54</t>
  </si>
  <si>
    <t>L: 3,8 A: 2,44</t>
  </si>
  <si>
    <t>L: 4,41 A: 2,56</t>
  </si>
  <si>
    <t>L: 4,72 A: 2,5</t>
  </si>
  <si>
    <t>L: 4,66 A: 2,49</t>
  </si>
  <si>
    <t>L: 4,41 A: 2,52</t>
  </si>
  <si>
    <t>L: 3,93 A: 3</t>
  </si>
  <si>
    <t>L: 4,25 A: 3,16</t>
  </si>
  <si>
    <t>L: 0,91 A: 0,51</t>
  </si>
  <si>
    <t>L: 0,34 A: 0,4</t>
  </si>
  <si>
    <t>L:0,63 A: 1,17</t>
  </si>
  <si>
    <t>L: 0,65 A: 1,27</t>
  </si>
  <si>
    <t>L: 0,78 A: 0,49</t>
  </si>
  <si>
    <t>L: 0,97 A: 0,52</t>
  </si>
  <si>
    <t>L: 1 A: 0,61</t>
  </si>
  <si>
    <t>L: 0,9 A: 0,34</t>
  </si>
  <si>
    <t>L: 0,72 A: 1,04</t>
  </si>
  <si>
    <t>L: 0,77 A: 1,11</t>
  </si>
  <si>
    <t>L: 1,69 A: 0,88</t>
  </si>
  <si>
    <t>L: 3,81 A: 2,02</t>
  </si>
  <si>
    <t>L: 4,03 A: 2,36</t>
  </si>
  <si>
    <t>L: 5,80 A: 3,05</t>
  </si>
  <si>
    <t>L: 5,88 A: 3,44</t>
  </si>
  <si>
    <t>L: 4,7 A: 2,9</t>
  </si>
  <si>
    <t>L: 4,2 A: 2,4</t>
  </si>
  <si>
    <t>L: 3,82 A: 2,93</t>
  </si>
  <si>
    <t>L: 4,56 A: 2,72</t>
  </si>
  <si>
    <t>L: 3,95 A: 2,66</t>
  </si>
  <si>
    <t>L: 3,9 A: 2,63</t>
  </si>
  <si>
    <t>L: 3,96 A: 2,66</t>
  </si>
  <si>
    <t>L: 4,66 A: 2,65</t>
  </si>
  <si>
    <t>L: 5,4 A: 3,61</t>
  </si>
  <si>
    <t>L: 5,27 A: 3,4</t>
  </si>
  <si>
    <t>L: 4,53 A: 2,51</t>
  </si>
  <si>
    <t>L: 3,94 A: 2,48</t>
  </si>
  <si>
    <t>L: 5 A: 2,34</t>
  </si>
  <si>
    <t>L: 4 A: 2,02</t>
  </si>
  <si>
    <t>L: 3,46 A: 2,29</t>
  </si>
  <si>
    <t>L: 3,46 A: 2,49</t>
  </si>
  <si>
    <t>L: 5,50 A: 2,27</t>
  </si>
  <si>
    <t>L: 4,87 A: 2,60</t>
  </si>
  <si>
    <t>L: 5,70 A: 2,75</t>
  </si>
  <si>
    <t>L: 5,80 A: 2,64</t>
  </si>
  <si>
    <t>L: 3,55 A: 1,83</t>
  </si>
  <si>
    <t>L: 3,22 A: 1,75</t>
  </si>
  <si>
    <t>L: 3,20 A: 2,10</t>
  </si>
  <si>
    <t>L: 2,94 A: 2,33</t>
  </si>
  <si>
    <t>L: 4,90 A: 2,73</t>
  </si>
  <si>
    <t>L: 4,30 A: 2,50</t>
  </si>
  <si>
    <t>L: 5,01 A: 2,59</t>
  </si>
  <si>
    <t>L: 4,81 A: 3,06</t>
  </si>
  <si>
    <t>L: 4,7 A: 2,6</t>
  </si>
  <si>
    <t>L: 4,13 A: 2,34</t>
  </si>
  <si>
    <t>L: 4,2 A: 2,44</t>
  </si>
  <si>
    <t>L: 3,9 A: 2,5</t>
  </si>
  <si>
    <t>L: 3,48 A: 2,43</t>
  </si>
  <si>
    <t>L: 3,39 A: 2,15</t>
  </si>
  <si>
    <t>L: 6,92 A: 3,36</t>
  </si>
  <si>
    <t>L: 7,05 A: 3,28</t>
  </si>
  <si>
    <t>L: 2,8 A:1,8</t>
  </si>
  <si>
    <t>L: 3 A: 1,9</t>
  </si>
  <si>
    <t>L: 4,24 A: 2,13</t>
  </si>
  <si>
    <t>L: 3,82 A: 2,53</t>
  </si>
  <si>
    <t>L: 3,3 A: 2,4</t>
  </si>
  <si>
    <t>L: 3,7 A: 2,43</t>
  </si>
  <si>
    <t>L: 3,6 A: 2,3</t>
  </si>
  <si>
    <t>L: 3,9 A: 2,3</t>
  </si>
  <si>
    <t>L: 4,05 A: 2,12</t>
  </si>
  <si>
    <t>L: 3,64 A: 2,09</t>
  </si>
  <si>
    <t>L: 3,20 A: 1,82</t>
  </si>
  <si>
    <t>L: 2,88 A: 1,86</t>
  </si>
  <si>
    <t>L: 4,9 A: 2</t>
  </si>
  <si>
    <t>L: 6,34 A: 3,63</t>
  </si>
  <si>
    <t>L: 5,77 A: 3,39</t>
  </si>
  <si>
    <t>L: 3,74 A: 3,14</t>
  </si>
  <si>
    <t>L: 4,60 A: 3,04</t>
  </si>
  <si>
    <t>L: 4,3 A: 2,1</t>
  </si>
  <si>
    <t>L: 4,3 A: 2,3</t>
  </si>
  <si>
    <t>L: 2,66 A: 1,73</t>
  </si>
  <si>
    <t>L: 2,83 A: 1,94</t>
  </si>
  <si>
    <t>L: 3,7 A: 2,2</t>
  </si>
  <si>
    <t>L: 3,7 A: 2,3</t>
  </si>
  <si>
    <t>01/17/2022</t>
  </si>
  <si>
    <t>L: 17 A: 4,33</t>
  </si>
  <si>
    <t>L: 18,30 A: 3,59</t>
  </si>
  <si>
    <t>L: 4,1 A: 2,37</t>
  </si>
  <si>
    <t>L: 4,09 A: 2,3</t>
  </si>
  <si>
    <t>L: 4,14 A: 0,69</t>
  </si>
  <si>
    <t>L: 4,84 A: 0,44</t>
  </si>
  <si>
    <t>L: 2,28 A: 1,67</t>
  </si>
  <si>
    <t>L: 2,28 A: 1,39</t>
  </si>
  <si>
    <t>20 brazas</t>
  </si>
  <si>
    <t>01/20/2022</t>
  </si>
  <si>
    <t>17 brazas</t>
  </si>
  <si>
    <t>L: 4,04 A: 2,43</t>
  </si>
  <si>
    <t>L: 4,24 A: 2,3</t>
  </si>
  <si>
    <t>L: 4,7 A: 2,4</t>
  </si>
  <si>
    <t>L: 4,23 A: 2,76</t>
  </si>
  <si>
    <t>10-20</t>
  </si>
  <si>
    <t>L: 3,9 A: 1,9</t>
  </si>
  <si>
    <t>5,1(L)-2,55(A)</t>
  </si>
  <si>
    <t>4,85(L)-2,73(A)</t>
  </si>
  <si>
    <t>31 (17 brazas)</t>
  </si>
  <si>
    <t>7,25(L)-5,36(A)</t>
  </si>
  <si>
    <t>7,35(L)-5,76(A)</t>
  </si>
  <si>
    <t>3,98-2,36-1,68-2,95-2,78-2,62-1,72</t>
  </si>
  <si>
    <t>2,9-2,7-2,3-1,4-0,8-1,1-0,7-1,6-1,3-1,1</t>
  </si>
  <si>
    <t>7,57(L)-5,16(A)</t>
  </si>
  <si>
    <t>6,69(L)-6,36(A)</t>
  </si>
  <si>
    <t>3,13(L)-2,99(A)</t>
  </si>
  <si>
    <t>7,06(L)-5,36(A)</t>
  </si>
  <si>
    <t>6,98(L)-5,11(A)</t>
  </si>
  <si>
    <t>2,5-1,93-2,0</t>
  </si>
  <si>
    <t>3,3-2,99-2,76-3,14-2,84</t>
  </si>
  <si>
    <t>5,05(L)-3,59(A)</t>
  </si>
  <si>
    <t>5,57(L)-3,59(A)</t>
  </si>
  <si>
    <t>1,01-1,14-0,88-0,81-0,57-0,76-0,69-1,47-1-1,19-0,88</t>
  </si>
  <si>
    <t>8,0(L)-4,9(A)</t>
  </si>
  <si>
    <t>7,9(L)-5(A)</t>
  </si>
  <si>
    <t>1,6-2,6-3,0-2,7-3,0-3,0-2,9-1,9-1,4-1-1,3</t>
  </si>
  <si>
    <t>1,5-3,4-1,9-2,8-1,2-1,2-2,0-1,1-2,0</t>
  </si>
  <si>
    <t>3,88(L)-2,45(A)</t>
  </si>
  <si>
    <t>4(L)-2,25(A)</t>
  </si>
  <si>
    <t>7,1(L)-5,27(A)</t>
  </si>
  <si>
    <t>7,4(L)-5,5(A)</t>
  </si>
  <si>
    <t>2,89-3-2,48-1,9</t>
  </si>
  <si>
    <t>2,18-1,62-2,3-1,4</t>
  </si>
  <si>
    <t>7,2(L)-5,4(A)</t>
  </si>
  <si>
    <t>2-1,3-1,3-2-1-1-2,5</t>
  </si>
  <si>
    <t>3,3-3,1-1,1-2,2-1,1-1,1-1-1,6</t>
  </si>
  <si>
    <t>2,26(L)-1,22(A)</t>
  </si>
  <si>
    <t>2,09(L)-1,45(A)</t>
  </si>
  <si>
    <t>4,56(L)-2,5(A)</t>
  </si>
  <si>
    <t xml:space="preserve">K. Villagrán </t>
  </si>
  <si>
    <t>40 m</t>
  </si>
  <si>
    <t>largo(4,25) ancho(2,76)</t>
  </si>
  <si>
    <t>largo(4,39) ancho(2,87)</t>
  </si>
  <si>
    <t>K. VIllagrán</t>
  </si>
  <si>
    <t>K. Villagrán</t>
  </si>
  <si>
    <t>5(L) 0,5(A)</t>
  </si>
  <si>
    <t>5,3(L), 0,5(A)</t>
  </si>
  <si>
    <t>4,4(L),0,5(A)</t>
  </si>
  <si>
    <t>4,4(L) 1(A)</t>
  </si>
  <si>
    <t>25m</t>
  </si>
  <si>
    <t>40m</t>
  </si>
  <si>
    <t>BASE FILTRADA SOLO HEMBRAS MADURAS E INMADURAS</t>
  </si>
  <si>
    <t>PHOTO</t>
  </si>
  <si>
    <t>BASE FILTRADA SOLO MACHOS MADUROS E INMADUROS</t>
  </si>
  <si>
    <t>12/13/202</t>
  </si>
  <si>
    <t>Gonadas Destruidas</t>
  </si>
  <si>
    <t>Observaciones</t>
  </si>
  <si>
    <t>Gonadas Incompletas</t>
  </si>
  <si>
    <t>Sin Gonadas</t>
  </si>
  <si>
    <t>Sin estado de madurez en la hoja</t>
  </si>
  <si>
    <t>En la hoja dice inmadura</t>
  </si>
  <si>
    <t>Sin Fotos</t>
  </si>
  <si>
    <t>Gonadas Destruidas, Sin certeza del estado de Madurez</t>
  </si>
  <si>
    <t>Sin fotos del organismo ni de las gonadas</t>
  </si>
  <si>
    <t>Gonadas Incompletas, Sin Foto del Organismo</t>
  </si>
  <si>
    <t>Sin fotos del organismo</t>
  </si>
  <si>
    <t>Sin Fotos del organismo ni de sus gonadas</t>
  </si>
  <si>
    <t>Sin Fotos del organismo completo</t>
  </si>
  <si>
    <t>Sin fotos del organismo completo</t>
  </si>
  <si>
    <t>Sin GONadas</t>
  </si>
  <si>
    <t>Cola Incompleta, Gonadas muy pequenas, no se notan</t>
  </si>
  <si>
    <t>Cuerpo encorvado, Cola cortada</t>
  </si>
  <si>
    <t>Sin gonadas</t>
  </si>
  <si>
    <t>Gonadas en mal estado</t>
  </si>
  <si>
    <t>Gonadas destruidas</t>
  </si>
  <si>
    <t>Cola cortada</t>
  </si>
  <si>
    <t>Sin Fotos del organismo completo ni tampoco de sus gonadas</t>
  </si>
  <si>
    <t>Datos M&amp;M</t>
  </si>
  <si>
    <t>Arte de Pesca</t>
  </si>
  <si>
    <t>Enmalle</t>
  </si>
  <si>
    <t>Localidad de las muestras</t>
  </si>
  <si>
    <t>Mantagua e Higuerillas</t>
  </si>
  <si>
    <t>Gonadas Incompletas, Cola cortada</t>
  </si>
  <si>
    <t>Sin fotos del organismo completo, Sin gonadas</t>
  </si>
  <si>
    <t>Cola cortada, Sistema reproductivo cortado</t>
  </si>
  <si>
    <t>Cola sin filamento, Sin fotos del organismo completo</t>
  </si>
  <si>
    <t>Sin fotos del organismo completo, cola cortada</t>
  </si>
  <si>
    <t>Organos internos perdidos</t>
  </si>
  <si>
    <t>Sin filamento caudal</t>
  </si>
  <si>
    <t>Sin filamento caudal, Claspers rotatorios (se cuestiona el estado de madurez de la hoja)</t>
  </si>
  <si>
    <t>Dice madura, pero senala utero y ovocitos poco desarrollados</t>
  </si>
  <si>
    <t>Espina cortada, sin fotos del organismo completo</t>
  </si>
  <si>
    <t>Sin fotos del organismo ni gonadas</t>
  </si>
  <si>
    <t>sin fotos del organismo completo</t>
  </si>
  <si>
    <t>Sin fotos del organismo completo, filamento cortado</t>
  </si>
  <si>
    <t>Sin vesiculas seminales</t>
  </si>
  <si>
    <t>Sin fotos del organismo completo, Claspers en mal estado</t>
  </si>
  <si>
    <t>Gonadas destruidas, solo vesicula seminal intacta</t>
  </si>
  <si>
    <t>Individuo sin claspers</t>
  </si>
  <si>
    <t>Ejemplar en mala condicion</t>
  </si>
  <si>
    <t>Sin foto del organismo completo</t>
  </si>
  <si>
    <t>Su hoja no especifica el sexo</t>
  </si>
  <si>
    <t>Sin hoja</t>
  </si>
  <si>
    <t>Vesiculas seminales pequenas, Claspers poco  calcificados, Se cuestiona el estado de madurez de la hoja</t>
  </si>
  <si>
    <t>Cola cortada, organismo incompleto, Sin fotos del organismo completo</t>
  </si>
  <si>
    <t>Solo la mitad encontrada de los testiculos</t>
  </si>
  <si>
    <t>Cola cortada, Gonadas destruidas por el hielo, no hay foto</t>
  </si>
  <si>
    <t>No hay claspers ni tenaculos visibles</t>
  </si>
  <si>
    <t>Vesiculas seminales verdes</t>
  </si>
  <si>
    <t>Sin pedunculo caudal</t>
  </si>
  <si>
    <t>Sin foto del organismo completo, Cola cortada, Gonadas muy pequenas</t>
  </si>
  <si>
    <t>duda del sexo del ejemplar en hoja</t>
  </si>
  <si>
    <t>Gonadas deboradas parcialmente</t>
  </si>
  <si>
    <t>Epididimo se ve desarrollado, no tiene testiculos, sin foto del organismo completo</t>
  </si>
  <si>
    <t>Gonadas sin testiculos</t>
  </si>
  <si>
    <t>Sin testiculos, cola cortada</t>
  </si>
  <si>
    <t>En la hoja del CCM dice que su estado de madurez es inmaduro</t>
  </si>
  <si>
    <t>Sin fotos del organismo completo, Gonadas en mal estado</t>
  </si>
  <si>
    <t>Cola cortada, Sin foto del organismo completo</t>
  </si>
  <si>
    <t>Penduculo caudal cortado</t>
  </si>
  <si>
    <t>Lo hoja registra otra medicion para la LPC</t>
  </si>
  <si>
    <t>Gonadas incompletas, Nohay t</t>
  </si>
  <si>
    <t>Gonadas incompletas</t>
  </si>
  <si>
    <t>No presenta organos internos</t>
  </si>
  <si>
    <t>Cola cortada, Sin claspers</t>
  </si>
  <si>
    <t>Sin foto, solo con glandulas seminales</t>
  </si>
  <si>
    <t>Sin organos internos, gonadas parcialmente presentes</t>
  </si>
  <si>
    <t>Cola cortada, Sin organos internos</t>
  </si>
  <si>
    <t>Sin foto</t>
  </si>
  <si>
    <t>Sin foto, Cola cortada</t>
  </si>
  <si>
    <t>No se especifica el estado de madurez en la hoja</t>
  </si>
  <si>
    <t>CCMs Faltantes</t>
  </si>
  <si>
    <t>n</t>
  </si>
  <si>
    <t>K</t>
  </si>
  <si>
    <t>Dmin</t>
  </si>
  <si>
    <t>Dmax</t>
  </si>
  <si>
    <t>Rango</t>
  </si>
  <si>
    <t>Amplitud</t>
  </si>
  <si>
    <t>Lim Inf</t>
  </si>
  <si>
    <t>Lim Sup</t>
  </si>
  <si>
    <t>Longitud Total</t>
  </si>
  <si>
    <t>Longitud PreCaudal</t>
  </si>
  <si>
    <t>Bin</t>
  </si>
  <si>
    <t>Frequency</t>
  </si>
  <si>
    <r>
      <t xml:space="preserve">Frecuencia de los datos de longitud total para los machos capturados de </t>
    </r>
    <r>
      <rPr>
        <i/>
        <sz val="10"/>
        <color rgb="FF000000"/>
        <rFont val="Aptos Narrow"/>
        <family val="2"/>
        <scheme val="minor"/>
      </rPr>
      <t xml:space="preserve">C. callorynchus </t>
    </r>
  </si>
  <si>
    <r>
      <t xml:space="preserve">Frecuencia de los datos de longitud precaudal para los machos capturados de </t>
    </r>
    <r>
      <rPr>
        <i/>
        <sz val="10"/>
        <color rgb="FF000000"/>
        <rFont val="Aptos Narrow"/>
        <family val="2"/>
        <scheme val="minor"/>
      </rPr>
      <t xml:space="preserve">C. callorynchus </t>
    </r>
  </si>
  <si>
    <r>
      <t xml:space="preserve">Frecuencia de los datos de longitud total para las hembras capturadas de </t>
    </r>
    <r>
      <rPr>
        <i/>
        <sz val="10"/>
        <color rgb="FF000000"/>
        <rFont val="Aptos Narrow"/>
        <family val="2"/>
        <scheme val="minor"/>
      </rPr>
      <t xml:space="preserve">C. callorynchus </t>
    </r>
  </si>
  <si>
    <r>
      <t xml:space="preserve">Frecuencia de los datos de longitud precaudal para las hembras capturadas de </t>
    </r>
    <r>
      <rPr>
        <i/>
        <sz val="10"/>
        <color rgb="FF000000"/>
        <rFont val="Aptos Narrow"/>
        <family val="2"/>
        <scheme val="minor"/>
      </rPr>
      <t xml:space="preserve">C. callorynchus </t>
    </r>
  </si>
  <si>
    <t>Desarrollo de Prueba Kolmogorov-Smirnov</t>
  </si>
  <si>
    <t>Sexo</t>
  </si>
  <si>
    <t>LT</t>
  </si>
  <si>
    <t>Precaudal</t>
  </si>
  <si>
    <t>Datos no agrupados</t>
  </si>
  <si>
    <t>nTotal</t>
  </si>
  <si>
    <t>nMachos</t>
  </si>
  <si>
    <t>nHembras</t>
  </si>
  <si>
    <t>K Sturges</t>
  </si>
  <si>
    <t>K Raiz n</t>
  </si>
  <si>
    <t>Amplitud Sturges</t>
  </si>
  <si>
    <t>Amplitud Raiz</t>
  </si>
  <si>
    <t>Promedio</t>
  </si>
  <si>
    <t>Des std</t>
  </si>
  <si>
    <t>n &lt; 100</t>
  </si>
  <si>
    <t>n &gt; 100</t>
  </si>
  <si>
    <t>K Sturges Aprox</t>
  </si>
  <si>
    <t>K Raiz Aprox</t>
  </si>
  <si>
    <t xml:space="preserve">Las aproximaciones de K se haran hacia el impar mas cercano y como se trabajan con mas de 100 datos, se usara la raiz cuadrada de n para el calculo de K </t>
  </si>
  <si>
    <t>Talla Min</t>
  </si>
  <si>
    <t>Talla Max</t>
  </si>
  <si>
    <t>Intervalos</t>
  </si>
  <si>
    <t>FO</t>
  </si>
  <si>
    <t>Frecuencia Relativa</t>
  </si>
  <si>
    <t>Frecuencia Acumulada</t>
  </si>
  <si>
    <t>Frecuencia Normal</t>
  </si>
  <si>
    <t>Absolutos</t>
  </si>
  <si>
    <t>Suma de abs</t>
  </si>
  <si>
    <t>Prueba K-S (Se elige el max)</t>
  </si>
  <si>
    <t>Nivel de Significancia</t>
  </si>
  <si>
    <t>gl</t>
  </si>
  <si>
    <t>Valor K-S Critico</t>
  </si>
  <si>
    <t>Hipotesis</t>
  </si>
  <si>
    <t>Como hay diferencias, la longitud total debe trabajarse para machos y hembras por separado</t>
  </si>
  <si>
    <t>Como hay diferencias, la longitud precuadal debe trabajarse para machos y hembras por separado</t>
  </si>
  <si>
    <t>GOMPERTZ</t>
  </si>
  <si>
    <t>L50</t>
  </si>
  <si>
    <t>θ</t>
  </si>
  <si>
    <t>Binomial</t>
  </si>
  <si>
    <t>Marca Clase</t>
  </si>
  <si>
    <t>(Ni) MUESTRA</t>
  </si>
  <si>
    <t>(mi)N MADUROS</t>
  </si>
  <si>
    <t>factorial</t>
  </si>
  <si>
    <t>1 binomial</t>
  </si>
  <si>
    <t>Diferencias Cuadraticas</t>
  </si>
  <si>
    <t>Proporcion Observada</t>
  </si>
  <si>
    <t>Modelo Pi</t>
  </si>
  <si>
    <t>EXP(-EXP(-parámetro teta*(marca clase-parámetroL50)))</t>
  </si>
  <si>
    <t>CHL193</t>
  </si>
  <si>
    <t>media hembras</t>
  </si>
  <si>
    <t>media machos</t>
  </si>
  <si>
    <t>D.E.hembras</t>
  </si>
  <si>
    <t>D.E. machos</t>
  </si>
  <si>
    <t>D.E.machos</t>
  </si>
  <si>
    <t>mi/ni</t>
  </si>
  <si>
    <t>Cuadraticas</t>
  </si>
  <si>
    <t>β1</t>
  </si>
  <si>
    <t>β2</t>
  </si>
  <si>
    <t xml:space="preserve">Binomial </t>
  </si>
  <si>
    <t>RICHARDS</t>
  </si>
  <si>
    <t>LYSACK</t>
  </si>
  <si>
    <t xml:space="preserve">White et al. </t>
  </si>
  <si>
    <t>L95</t>
  </si>
  <si>
    <t>Brouwer y Griffiths</t>
  </si>
  <si>
    <t>AIC</t>
  </si>
  <si>
    <t>k (param)</t>
  </si>
  <si>
    <t>Longitud Precaudal</t>
  </si>
  <si>
    <t>David Rojas</t>
  </si>
  <si>
    <t>Bakhayokho</t>
  </si>
  <si>
    <t>a</t>
  </si>
  <si>
    <t>b</t>
  </si>
  <si>
    <t>Argumentar en discusion que el modelo de Bakha se uso, pero infravalora los parametros</t>
  </si>
  <si>
    <t>Fx Objetivo</t>
  </si>
  <si>
    <t>KING</t>
  </si>
  <si>
    <t>r</t>
  </si>
  <si>
    <t>Hembras</t>
  </si>
  <si>
    <t>media lt maduras</t>
  </si>
  <si>
    <t>media lt inmaduras</t>
  </si>
  <si>
    <t>media lpc maduras</t>
  </si>
  <si>
    <t>media lpc inmaduras</t>
  </si>
  <si>
    <t>dst lt maduras</t>
  </si>
  <si>
    <t>dst lt inmaduras</t>
  </si>
  <si>
    <t>dst lpc maduras</t>
  </si>
  <si>
    <t>dst lpc inmaduras</t>
  </si>
  <si>
    <t>Machos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</si>
</sst>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yy"/>
    <numFmt numFmtId="165" formatCode="d/m/yyyy"/>
    <numFmt numFmtId="166" formatCode="d\-m"/>
    <numFmt numFmtId="167" formatCode="0.0000"/>
    <numFmt numFmtId="168" formatCode="0.000"/>
    <numFmt numFmtId="169" formatCode="0.000E+00"/>
    <numFmt numFmtId="170" formatCode="0.0"/>
    <numFmt numFmtId="171" formatCode="0E+00"/>
  </numFmts>
  <fonts count="12" x14ac:knownFonts="1">
    <font>
      <sz val="10"/>
      <color rgb="FF000000"/>
      <name val="Aptos Narrow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1F1F1F"/>
      <name val="Times New Roman"/>
      <family val="1"/>
    </font>
    <font>
      <b/>
      <sz val="26"/>
      <color theme="1"/>
      <name val="Times New Roman"/>
      <family val="1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6" fontId="2" fillId="0" borderId="0" xfId="0" applyNumberFormat="1" applyFont="1" applyAlignment="1">
      <alignment horizontal="center"/>
    </xf>
    <xf numFmtId="0" fontId="6" fillId="0" borderId="0" xfId="0" applyFont="1"/>
    <xf numFmtId="0" fontId="0" fillId="2" borderId="0" xfId="0" applyFill="1"/>
    <xf numFmtId="2" fontId="0" fillId="0" borderId="0" xfId="0" applyNumberFormat="1"/>
    <xf numFmtId="2" fontId="6" fillId="0" borderId="0" xfId="0" applyNumberFormat="1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167" fontId="0" fillId="0" borderId="0" xfId="0" applyNumberFormat="1"/>
    <xf numFmtId="0" fontId="6" fillId="4" borderId="0" xfId="0" applyFont="1" applyFill="1"/>
    <xf numFmtId="0" fontId="0" fillId="4" borderId="0" xfId="0" applyFill="1"/>
    <xf numFmtId="167" fontId="0" fillId="4" borderId="0" xfId="0" applyNumberFormat="1" applyFill="1"/>
    <xf numFmtId="0" fontId="0" fillId="6" borderId="0" xfId="0" applyFill="1"/>
    <xf numFmtId="9" fontId="0" fillId="0" borderId="0" xfId="0" applyNumberFormat="1"/>
    <xf numFmtId="0" fontId="8" fillId="0" borderId="0" xfId="0" applyFont="1"/>
    <xf numFmtId="168" fontId="0" fillId="0" borderId="0" xfId="0" applyNumberFormat="1"/>
    <xf numFmtId="2" fontId="0" fillId="0" borderId="3" xfId="0" applyNumberFormat="1" applyBorder="1"/>
    <xf numFmtId="0" fontId="0" fillId="0" borderId="3" xfId="0" applyBorder="1"/>
    <xf numFmtId="11" fontId="0" fillId="0" borderId="0" xfId="0" applyNumberFormat="1"/>
    <xf numFmtId="169" fontId="0" fillId="0" borderId="0" xfId="0" applyNumberFormat="1"/>
    <xf numFmtId="0" fontId="10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6" fillId="7" borderId="0" xfId="0" applyFont="1" applyFill="1"/>
    <xf numFmtId="0" fontId="0" fillId="7" borderId="0" xfId="0" applyFill="1"/>
    <xf numFmtId="170" fontId="0" fillId="0" borderId="0" xfId="0" applyNumberFormat="1"/>
    <xf numFmtId="170" fontId="0" fillId="0" borderId="3" xfId="0" applyNumberFormat="1" applyBorder="1"/>
    <xf numFmtId="0" fontId="0" fillId="5" borderId="0" xfId="0" applyFill="1"/>
    <xf numFmtId="0" fontId="0" fillId="0" borderId="1" xfId="0" applyBorder="1"/>
    <xf numFmtId="0" fontId="9" fillId="0" borderId="0" xfId="0" applyFont="1"/>
    <xf numFmtId="169" fontId="0" fillId="4" borderId="0" xfId="0" applyNumberFormat="1" applyFill="1"/>
    <xf numFmtId="0" fontId="9" fillId="5" borderId="0" xfId="0" applyFont="1" applyFill="1"/>
    <xf numFmtId="11" fontId="0" fillId="5" borderId="0" xfId="0" applyNumberFormat="1" applyFill="1"/>
    <xf numFmtId="171" fontId="0" fillId="0" borderId="0" xfId="0" applyNumberFormat="1"/>
    <xf numFmtId="0" fontId="8" fillId="2" borderId="0" xfId="0" applyFont="1" applyFill="1"/>
    <xf numFmtId="11" fontId="0" fillId="2" borderId="0" xfId="0" applyNumberFormat="1" applyFill="1"/>
    <xf numFmtId="0" fontId="9" fillId="2" borderId="0" xfId="0" applyFont="1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 Longitud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Todos!$I$24:$I$34</c:f>
              <c:numCache>
                <c:formatCode>0.0</c:formatCode>
                <c:ptCount val="11"/>
                <c:pt idx="0">
                  <c:v>21.845454545454544</c:v>
                </c:pt>
                <c:pt idx="1">
                  <c:v>30.490909090909089</c:v>
                </c:pt>
                <c:pt idx="2">
                  <c:v>39.136363636363633</c:v>
                </c:pt>
                <c:pt idx="3">
                  <c:v>47.781818181818181</c:v>
                </c:pt>
                <c:pt idx="4">
                  <c:v>56.427272727272722</c:v>
                </c:pt>
                <c:pt idx="5">
                  <c:v>65.072727272727263</c:v>
                </c:pt>
                <c:pt idx="6">
                  <c:v>73.718181818181804</c:v>
                </c:pt>
                <c:pt idx="7">
                  <c:v>82.363636363636346</c:v>
                </c:pt>
                <c:pt idx="8">
                  <c:v>91.009090909090887</c:v>
                </c:pt>
                <c:pt idx="9">
                  <c:v>99.654545454545428</c:v>
                </c:pt>
                <c:pt idx="10">
                  <c:v>108.29999999999997</c:v>
                </c:pt>
              </c:numCache>
            </c:numRef>
          </c:cat>
          <c:val>
            <c:numRef>
              <c:f>Todos!$J$24:$J$34</c:f>
              <c:numCache>
                <c:formatCode>General</c:formatCode>
                <c:ptCount val="11"/>
                <c:pt idx="0">
                  <c:v>8</c:v>
                </c:pt>
                <c:pt idx="1">
                  <c:v>1</c:v>
                </c:pt>
                <c:pt idx="2">
                  <c:v>7</c:v>
                </c:pt>
                <c:pt idx="3">
                  <c:v>41</c:v>
                </c:pt>
                <c:pt idx="4">
                  <c:v>59</c:v>
                </c:pt>
                <c:pt idx="5">
                  <c:v>132</c:v>
                </c:pt>
                <c:pt idx="6">
                  <c:v>213</c:v>
                </c:pt>
                <c:pt idx="7">
                  <c:v>65</c:v>
                </c:pt>
                <c:pt idx="8">
                  <c:v>40</c:v>
                </c:pt>
                <c:pt idx="9">
                  <c:v>9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9-475D-BC35-8DA32B451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270601759"/>
        <c:axId val="270601279"/>
      </c:barChart>
      <c:catAx>
        <c:axId val="27060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Intervalos de 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1279"/>
        <c:crosses val="autoZero"/>
        <c:auto val="1"/>
        <c:lblAlgn val="ctr"/>
        <c:lblOffset val="100"/>
        <c:noMultiLvlLbl val="0"/>
      </c:catAx>
      <c:valAx>
        <c:axId val="2706012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de 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0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Longitud Precaudal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Todos!$M$24:$M$34</c:f>
              <c:numCache>
                <c:formatCode>0.0</c:formatCode>
                <c:ptCount val="11"/>
                <c:pt idx="0">
                  <c:v>15.836363636363638</c:v>
                </c:pt>
                <c:pt idx="1">
                  <c:v>22.872727272727275</c:v>
                </c:pt>
                <c:pt idx="2">
                  <c:v>29.909090909090914</c:v>
                </c:pt>
                <c:pt idx="3">
                  <c:v>36.945454545454552</c:v>
                </c:pt>
                <c:pt idx="4">
                  <c:v>43.981818181818191</c:v>
                </c:pt>
                <c:pt idx="5">
                  <c:v>51.01818181818183</c:v>
                </c:pt>
                <c:pt idx="6">
                  <c:v>58.054545454545469</c:v>
                </c:pt>
                <c:pt idx="7">
                  <c:v>65.090909090909108</c:v>
                </c:pt>
                <c:pt idx="8">
                  <c:v>72.127272727272739</c:v>
                </c:pt>
                <c:pt idx="9">
                  <c:v>79.163636363636371</c:v>
                </c:pt>
                <c:pt idx="10">
                  <c:v>86.2</c:v>
                </c:pt>
              </c:numCache>
            </c:numRef>
          </c:cat>
          <c:val>
            <c:numRef>
              <c:f>Todos!$N$24:$N$34</c:f>
              <c:numCache>
                <c:formatCode>General</c:formatCode>
                <c:ptCount val="11"/>
                <c:pt idx="0">
                  <c:v>8</c:v>
                </c:pt>
                <c:pt idx="1">
                  <c:v>2</c:v>
                </c:pt>
                <c:pt idx="2">
                  <c:v>27</c:v>
                </c:pt>
                <c:pt idx="3">
                  <c:v>66</c:v>
                </c:pt>
                <c:pt idx="4">
                  <c:v>135</c:v>
                </c:pt>
                <c:pt idx="5">
                  <c:v>235</c:v>
                </c:pt>
                <c:pt idx="6">
                  <c:v>64</c:v>
                </c:pt>
                <c:pt idx="7">
                  <c:v>30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8-4297-8B96-D7CE01965F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59970703"/>
        <c:axId val="59969263"/>
      </c:barChart>
      <c:catAx>
        <c:axId val="5997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Intervalos de 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9263"/>
        <c:crosses val="autoZero"/>
        <c:auto val="1"/>
        <c:lblAlgn val="ctr"/>
        <c:lblOffset val="100"/>
        <c:noMultiLvlLbl val="0"/>
      </c:catAx>
      <c:valAx>
        <c:axId val="59969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de</a:t>
                </a:r>
                <a:r>
                  <a:rPr lang="en-US" baseline="0"/>
                  <a:t> Clase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Dispersión</a:t>
            </a:r>
            <a:r>
              <a:rPr lang="en-US" baseline="0"/>
              <a:t> de los datos LT Hembras</a:t>
            </a:r>
            <a:endParaRPr lang="en-US"/>
          </a:p>
        </c:rich>
      </c:tx>
      <c:layout>
        <c:manualLayout>
          <c:xMode val="edge"/>
          <c:yMode val="edge"/>
          <c:x val="0.24295454545454545"/>
          <c:y val="3.0018761726078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423743435924"/>
          <c:y val="0.1583914413213281"/>
          <c:w val="0.83476089202654891"/>
          <c:h val="0.6523275531899511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'K-S con LT'!$C$5:$C$204</c:f>
              <c:numCache>
                <c:formatCode>General</c:formatCode>
                <c:ptCount val="200"/>
                <c:pt idx="0">
                  <c:v>13.2</c:v>
                </c:pt>
                <c:pt idx="1">
                  <c:v>15</c:v>
                </c:pt>
                <c:pt idx="2">
                  <c:v>15.1</c:v>
                </c:pt>
                <c:pt idx="3">
                  <c:v>15.8</c:v>
                </c:pt>
                <c:pt idx="4">
                  <c:v>15.9</c:v>
                </c:pt>
                <c:pt idx="5">
                  <c:v>33.1</c:v>
                </c:pt>
                <c:pt idx="6">
                  <c:v>34.6</c:v>
                </c:pt>
                <c:pt idx="7">
                  <c:v>36.1</c:v>
                </c:pt>
                <c:pt idx="8">
                  <c:v>38.4</c:v>
                </c:pt>
                <c:pt idx="9">
                  <c:v>41.5</c:v>
                </c:pt>
                <c:pt idx="10">
                  <c:v>41.5</c:v>
                </c:pt>
                <c:pt idx="11">
                  <c:v>41.9</c:v>
                </c:pt>
                <c:pt idx="12">
                  <c:v>42.3</c:v>
                </c:pt>
                <c:pt idx="13">
                  <c:v>42.4</c:v>
                </c:pt>
                <c:pt idx="14">
                  <c:v>43</c:v>
                </c:pt>
                <c:pt idx="15">
                  <c:v>43.3</c:v>
                </c:pt>
                <c:pt idx="16">
                  <c:v>44</c:v>
                </c:pt>
                <c:pt idx="17">
                  <c:v>44.3</c:v>
                </c:pt>
                <c:pt idx="18">
                  <c:v>44.6</c:v>
                </c:pt>
                <c:pt idx="19">
                  <c:v>45</c:v>
                </c:pt>
                <c:pt idx="20">
                  <c:v>46</c:v>
                </c:pt>
                <c:pt idx="21">
                  <c:v>46</c:v>
                </c:pt>
                <c:pt idx="22">
                  <c:v>46.6</c:v>
                </c:pt>
                <c:pt idx="23">
                  <c:v>47.3</c:v>
                </c:pt>
                <c:pt idx="24">
                  <c:v>47.3</c:v>
                </c:pt>
                <c:pt idx="25">
                  <c:v>48.6</c:v>
                </c:pt>
                <c:pt idx="26">
                  <c:v>48.9</c:v>
                </c:pt>
                <c:pt idx="27">
                  <c:v>49.1</c:v>
                </c:pt>
                <c:pt idx="28">
                  <c:v>49.1</c:v>
                </c:pt>
                <c:pt idx="29">
                  <c:v>50</c:v>
                </c:pt>
                <c:pt idx="30">
                  <c:v>50.3</c:v>
                </c:pt>
                <c:pt idx="31">
                  <c:v>51</c:v>
                </c:pt>
                <c:pt idx="32">
                  <c:v>51.4</c:v>
                </c:pt>
                <c:pt idx="33">
                  <c:v>53.1</c:v>
                </c:pt>
                <c:pt idx="34">
                  <c:v>53.8</c:v>
                </c:pt>
                <c:pt idx="35">
                  <c:v>55</c:v>
                </c:pt>
                <c:pt idx="36">
                  <c:v>55.2</c:v>
                </c:pt>
                <c:pt idx="37">
                  <c:v>55.2</c:v>
                </c:pt>
                <c:pt idx="38">
                  <c:v>55.5</c:v>
                </c:pt>
                <c:pt idx="39">
                  <c:v>57</c:v>
                </c:pt>
                <c:pt idx="40">
                  <c:v>57.5</c:v>
                </c:pt>
                <c:pt idx="41">
                  <c:v>58.2</c:v>
                </c:pt>
                <c:pt idx="42">
                  <c:v>58.8</c:v>
                </c:pt>
                <c:pt idx="43">
                  <c:v>59</c:v>
                </c:pt>
                <c:pt idx="44">
                  <c:v>59.5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60.5</c:v>
                </c:pt>
                <c:pt idx="49">
                  <c:v>60.6</c:v>
                </c:pt>
                <c:pt idx="50">
                  <c:v>60.9</c:v>
                </c:pt>
                <c:pt idx="51">
                  <c:v>61.1</c:v>
                </c:pt>
                <c:pt idx="52">
                  <c:v>61.3</c:v>
                </c:pt>
                <c:pt idx="53">
                  <c:v>61.8</c:v>
                </c:pt>
                <c:pt idx="54">
                  <c:v>61.8</c:v>
                </c:pt>
                <c:pt idx="55">
                  <c:v>62</c:v>
                </c:pt>
                <c:pt idx="56">
                  <c:v>62.1</c:v>
                </c:pt>
                <c:pt idx="57">
                  <c:v>62.2</c:v>
                </c:pt>
                <c:pt idx="58">
                  <c:v>62.3</c:v>
                </c:pt>
                <c:pt idx="59">
                  <c:v>62.5</c:v>
                </c:pt>
                <c:pt idx="60">
                  <c:v>62.6</c:v>
                </c:pt>
                <c:pt idx="61">
                  <c:v>63</c:v>
                </c:pt>
                <c:pt idx="62">
                  <c:v>64</c:v>
                </c:pt>
                <c:pt idx="63">
                  <c:v>64.3</c:v>
                </c:pt>
                <c:pt idx="64">
                  <c:v>64.5</c:v>
                </c:pt>
                <c:pt idx="65">
                  <c:v>65</c:v>
                </c:pt>
                <c:pt idx="66">
                  <c:v>65.400000000000006</c:v>
                </c:pt>
                <c:pt idx="67">
                  <c:v>65.7</c:v>
                </c:pt>
                <c:pt idx="68">
                  <c:v>66</c:v>
                </c:pt>
                <c:pt idx="69">
                  <c:v>66.099999999999994</c:v>
                </c:pt>
                <c:pt idx="70">
                  <c:v>66.2</c:v>
                </c:pt>
                <c:pt idx="71">
                  <c:v>66.2</c:v>
                </c:pt>
                <c:pt idx="72">
                  <c:v>66.900000000000006</c:v>
                </c:pt>
                <c:pt idx="73">
                  <c:v>67.099999999999994</c:v>
                </c:pt>
                <c:pt idx="74">
                  <c:v>67.5</c:v>
                </c:pt>
                <c:pt idx="75">
                  <c:v>68</c:v>
                </c:pt>
                <c:pt idx="76">
                  <c:v>68</c:v>
                </c:pt>
                <c:pt idx="77">
                  <c:v>68.5</c:v>
                </c:pt>
                <c:pt idx="78">
                  <c:v>68.5</c:v>
                </c:pt>
                <c:pt idx="79">
                  <c:v>68.599999999999994</c:v>
                </c:pt>
                <c:pt idx="80">
                  <c:v>69.2</c:v>
                </c:pt>
                <c:pt idx="81">
                  <c:v>69.3</c:v>
                </c:pt>
                <c:pt idx="82">
                  <c:v>69.5</c:v>
                </c:pt>
                <c:pt idx="83">
                  <c:v>69.599999999999994</c:v>
                </c:pt>
                <c:pt idx="84">
                  <c:v>69.7</c:v>
                </c:pt>
                <c:pt idx="85">
                  <c:v>69.7</c:v>
                </c:pt>
                <c:pt idx="86">
                  <c:v>69.8</c:v>
                </c:pt>
                <c:pt idx="87">
                  <c:v>70.3</c:v>
                </c:pt>
                <c:pt idx="88">
                  <c:v>70.5</c:v>
                </c:pt>
                <c:pt idx="89">
                  <c:v>71.099999999999994</c:v>
                </c:pt>
                <c:pt idx="90">
                  <c:v>71.2</c:v>
                </c:pt>
                <c:pt idx="91">
                  <c:v>71.400000000000006</c:v>
                </c:pt>
                <c:pt idx="92">
                  <c:v>71.5</c:v>
                </c:pt>
                <c:pt idx="93">
                  <c:v>71.5</c:v>
                </c:pt>
                <c:pt idx="94">
                  <c:v>71.599999999999994</c:v>
                </c:pt>
                <c:pt idx="95">
                  <c:v>71.7</c:v>
                </c:pt>
                <c:pt idx="96">
                  <c:v>71.8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72.2</c:v>
                </c:pt>
                <c:pt idx="102">
                  <c:v>72.599999999999994</c:v>
                </c:pt>
                <c:pt idx="103">
                  <c:v>73</c:v>
                </c:pt>
                <c:pt idx="104">
                  <c:v>73</c:v>
                </c:pt>
                <c:pt idx="105">
                  <c:v>73.099999999999994</c:v>
                </c:pt>
                <c:pt idx="106">
                  <c:v>73.2</c:v>
                </c:pt>
                <c:pt idx="107">
                  <c:v>73.400000000000006</c:v>
                </c:pt>
                <c:pt idx="108">
                  <c:v>73.400000000000006</c:v>
                </c:pt>
                <c:pt idx="109">
                  <c:v>73.7</c:v>
                </c:pt>
                <c:pt idx="110">
                  <c:v>73.7</c:v>
                </c:pt>
                <c:pt idx="111">
                  <c:v>73.7</c:v>
                </c:pt>
                <c:pt idx="112">
                  <c:v>74</c:v>
                </c:pt>
                <c:pt idx="113">
                  <c:v>74</c:v>
                </c:pt>
                <c:pt idx="114">
                  <c:v>74.099999999999994</c:v>
                </c:pt>
                <c:pt idx="115">
                  <c:v>74.2</c:v>
                </c:pt>
                <c:pt idx="116">
                  <c:v>74.3</c:v>
                </c:pt>
                <c:pt idx="117">
                  <c:v>74.400000000000006</c:v>
                </c:pt>
                <c:pt idx="118">
                  <c:v>74.5</c:v>
                </c:pt>
                <c:pt idx="119">
                  <c:v>74.5</c:v>
                </c:pt>
                <c:pt idx="120">
                  <c:v>74.599999999999994</c:v>
                </c:pt>
                <c:pt idx="121">
                  <c:v>74.900000000000006</c:v>
                </c:pt>
                <c:pt idx="122">
                  <c:v>75.5</c:v>
                </c:pt>
                <c:pt idx="123">
                  <c:v>75.599999999999994</c:v>
                </c:pt>
                <c:pt idx="124">
                  <c:v>75.8</c:v>
                </c:pt>
                <c:pt idx="125">
                  <c:v>75.900000000000006</c:v>
                </c:pt>
                <c:pt idx="126">
                  <c:v>76</c:v>
                </c:pt>
                <c:pt idx="127">
                  <c:v>76.400000000000006</c:v>
                </c:pt>
                <c:pt idx="128">
                  <c:v>76.5</c:v>
                </c:pt>
                <c:pt idx="129">
                  <c:v>76.599999999999994</c:v>
                </c:pt>
                <c:pt idx="130">
                  <c:v>76.599999999999994</c:v>
                </c:pt>
                <c:pt idx="131">
                  <c:v>77</c:v>
                </c:pt>
                <c:pt idx="132">
                  <c:v>77</c:v>
                </c:pt>
                <c:pt idx="133">
                  <c:v>77.900000000000006</c:v>
                </c:pt>
                <c:pt idx="134">
                  <c:v>78</c:v>
                </c:pt>
                <c:pt idx="135">
                  <c:v>78</c:v>
                </c:pt>
                <c:pt idx="136">
                  <c:v>78.400000000000006</c:v>
                </c:pt>
                <c:pt idx="137">
                  <c:v>78.8</c:v>
                </c:pt>
                <c:pt idx="138">
                  <c:v>78.900000000000006</c:v>
                </c:pt>
                <c:pt idx="139">
                  <c:v>79</c:v>
                </c:pt>
                <c:pt idx="140">
                  <c:v>79.400000000000006</c:v>
                </c:pt>
                <c:pt idx="141">
                  <c:v>79.900000000000006</c:v>
                </c:pt>
                <c:pt idx="142">
                  <c:v>80.2</c:v>
                </c:pt>
                <c:pt idx="143">
                  <c:v>80.2</c:v>
                </c:pt>
                <c:pt idx="144">
                  <c:v>80.599999999999994</c:v>
                </c:pt>
                <c:pt idx="145">
                  <c:v>80.7</c:v>
                </c:pt>
                <c:pt idx="146">
                  <c:v>80.8</c:v>
                </c:pt>
                <c:pt idx="147">
                  <c:v>80.8</c:v>
                </c:pt>
                <c:pt idx="148">
                  <c:v>81.2</c:v>
                </c:pt>
                <c:pt idx="149">
                  <c:v>82</c:v>
                </c:pt>
                <c:pt idx="150">
                  <c:v>82.4</c:v>
                </c:pt>
                <c:pt idx="151">
                  <c:v>82.4</c:v>
                </c:pt>
                <c:pt idx="152">
                  <c:v>82.4</c:v>
                </c:pt>
                <c:pt idx="153">
                  <c:v>82.6</c:v>
                </c:pt>
                <c:pt idx="154">
                  <c:v>82.7</c:v>
                </c:pt>
                <c:pt idx="155">
                  <c:v>82.9</c:v>
                </c:pt>
                <c:pt idx="156">
                  <c:v>83</c:v>
                </c:pt>
                <c:pt idx="157">
                  <c:v>83.3</c:v>
                </c:pt>
                <c:pt idx="158">
                  <c:v>83.3</c:v>
                </c:pt>
                <c:pt idx="159">
                  <c:v>84.4</c:v>
                </c:pt>
                <c:pt idx="160">
                  <c:v>84.5</c:v>
                </c:pt>
                <c:pt idx="161">
                  <c:v>84.5</c:v>
                </c:pt>
                <c:pt idx="162">
                  <c:v>85.1</c:v>
                </c:pt>
                <c:pt idx="163">
                  <c:v>85.11</c:v>
                </c:pt>
                <c:pt idx="164">
                  <c:v>85.2</c:v>
                </c:pt>
                <c:pt idx="165">
                  <c:v>85.4</c:v>
                </c:pt>
                <c:pt idx="166">
                  <c:v>85.4</c:v>
                </c:pt>
                <c:pt idx="167">
                  <c:v>85.5</c:v>
                </c:pt>
                <c:pt idx="168">
                  <c:v>85.7</c:v>
                </c:pt>
                <c:pt idx="169">
                  <c:v>85.7</c:v>
                </c:pt>
                <c:pt idx="170">
                  <c:v>85.9</c:v>
                </c:pt>
                <c:pt idx="171">
                  <c:v>86</c:v>
                </c:pt>
                <c:pt idx="172">
                  <c:v>86</c:v>
                </c:pt>
                <c:pt idx="173">
                  <c:v>86.2</c:v>
                </c:pt>
                <c:pt idx="174">
                  <c:v>86.9</c:v>
                </c:pt>
                <c:pt idx="175">
                  <c:v>87.2</c:v>
                </c:pt>
                <c:pt idx="176">
                  <c:v>87.4</c:v>
                </c:pt>
                <c:pt idx="177">
                  <c:v>87.5</c:v>
                </c:pt>
                <c:pt idx="178">
                  <c:v>87.5</c:v>
                </c:pt>
                <c:pt idx="179">
                  <c:v>88</c:v>
                </c:pt>
                <c:pt idx="180">
                  <c:v>88</c:v>
                </c:pt>
                <c:pt idx="181">
                  <c:v>88.3</c:v>
                </c:pt>
                <c:pt idx="182">
                  <c:v>88.4</c:v>
                </c:pt>
                <c:pt idx="183">
                  <c:v>88.4</c:v>
                </c:pt>
                <c:pt idx="184">
                  <c:v>89.3</c:v>
                </c:pt>
                <c:pt idx="185">
                  <c:v>89.7</c:v>
                </c:pt>
                <c:pt idx="186">
                  <c:v>90</c:v>
                </c:pt>
                <c:pt idx="187">
                  <c:v>90.2</c:v>
                </c:pt>
                <c:pt idx="188">
                  <c:v>90.3</c:v>
                </c:pt>
                <c:pt idx="189">
                  <c:v>90.5</c:v>
                </c:pt>
                <c:pt idx="190">
                  <c:v>91.3</c:v>
                </c:pt>
                <c:pt idx="191">
                  <c:v>91.8</c:v>
                </c:pt>
                <c:pt idx="192">
                  <c:v>92.1</c:v>
                </c:pt>
                <c:pt idx="193">
                  <c:v>92.5</c:v>
                </c:pt>
                <c:pt idx="194">
                  <c:v>93</c:v>
                </c:pt>
                <c:pt idx="195">
                  <c:v>93.6</c:v>
                </c:pt>
                <c:pt idx="196">
                  <c:v>93.6</c:v>
                </c:pt>
                <c:pt idx="197">
                  <c:v>93.7</c:v>
                </c:pt>
                <c:pt idx="198">
                  <c:v>97</c:v>
                </c:pt>
                <c:pt idx="199">
                  <c:v>108.3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A2D-A336-1927C8C1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80895"/>
        <c:axId val="122379455"/>
      </c:scatterChart>
      <c:valAx>
        <c:axId val="12238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N° de Observación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9455"/>
        <c:crosses val="autoZero"/>
        <c:crossBetween val="midCat"/>
      </c:valAx>
      <c:valAx>
        <c:axId val="122379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 LT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089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Dispersion de los datos LT Machos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'K-S con LT'!$C$205:$C$580</c:f>
              <c:numCache>
                <c:formatCode>General</c:formatCode>
                <c:ptCount val="376"/>
                <c:pt idx="0">
                  <c:v>15.2</c:v>
                </c:pt>
                <c:pt idx="1">
                  <c:v>15.7</c:v>
                </c:pt>
                <c:pt idx="2">
                  <c:v>16.100000000000001</c:v>
                </c:pt>
                <c:pt idx="3">
                  <c:v>23</c:v>
                </c:pt>
                <c:pt idx="4">
                  <c:v>35</c:v>
                </c:pt>
                <c:pt idx="5">
                  <c:v>36.799999999999997</c:v>
                </c:pt>
                <c:pt idx="6">
                  <c:v>36.9</c:v>
                </c:pt>
                <c:pt idx="7">
                  <c:v>40</c:v>
                </c:pt>
                <c:pt idx="8">
                  <c:v>41.6</c:v>
                </c:pt>
                <c:pt idx="9">
                  <c:v>41.9</c:v>
                </c:pt>
                <c:pt idx="10">
                  <c:v>42.7</c:v>
                </c:pt>
                <c:pt idx="11">
                  <c:v>42.8</c:v>
                </c:pt>
                <c:pt idx="12">
                  <c:v>43.1</c:v>
                </c:pt>
                <c:pt idx="13">
                  <c:v>43.5</c:v>
                </c:pt>
                <c:pt idx="14">
                  <c:v>43.7</c:v>
                </c:pt>
                <c:pt idx="15">
                  <c:v>44.2</c:v>
                </c:pt>
                <c:pt idx="16">
                  <c:v>44.5</c:v>
                </c:pt>
                <c:pt idx="17">
                  <c:v>44.6</c:v>
                </c:pt>
                <c:pt idx="18">
                  <c:v>44.7</c:v>
                </c:pt>
                <c:pt idx="19">
                  <c:v>45.1</c:v>
                </c:pt>
                <c:pt idx="20">
                  <c:v>45.3</c:v>
                </c:pt>
                <c:pt idx="21">
                  <c:v>45.6</c:v>
                </c:pt>
                <c:pt idx="22">
                  <c:v>45.9</c:v>
                </c:pt>
                <c:pt idx="23">
                  <c:v>46</c:v>
                </c:pt>
                <c:pt idx="24">
                  <c:v>46.2</c:v>
                </c:pt>
                <c:pt idx="25">
                  <c:v>46.5</c:v>
                </c:pt>
                <c:pt idx="26">
                  <c:v>46.5</c:v>
                </c:pt>
                <c:pt idx="27">
                  <c:v>47</c:v>
                </c:pt>
                <c:pt idx="28">
                  <c:v>47.2</c:v>
                </c:pt>
                <c:pt idx="29">
                  <c:v>47.3</c:v>
                </c:pt>
                <c:pt idx="30">
                  <c:v>47.7</c:v>
                </c:pt>
                <c:pt idx="31">
                  <c:v>47.7</c:v>
                </c:pt>
                <c:pt idx="32">
                  <c:v>47.9</c:v>
                </c:pt>
                <c:pt idx="33">
                  <c:v>47.9</c:v>
                </c:pt>
                <c:pt idx="34">
                  <c:v>48.5</c:v>
                </c:pt>
                <c:pt idx="35">
                  <c:v>48.7</c:v>
                </c:pt>
                <c:pt idx="36">
                  <c:v>48.8</c:v>
                </c:pt>
                <c:pt idx="37">
                  <c:v>49.1</c:v>
                </c:pt>
                <c:pt idx="38">
                  <c:v>49.1</c:v>
                </c:pt>
                <c:pt idx="39">
                  <c:v>49.2</c:v>
                </c:pt>
                <c:pt idx="40">
                  <c:v>49.4</c:v>
                </c:pt>
                <c:pt idx="41">
                  <c:v>49.4</c:v>
                </c:pt>
                <c:pt idx="42">
                  <c:v>49.4</c:v>
                </c:pt>
                <c:pt idx="43">
                  <c:v>49.8</c:v>
                </c:pt>
                <c:pt idx="44">
                  <c:v>49.8</c:v>
                </c:pt>
                <c:pt idx="45">
                  <c:v>49.9</c:v>
                </c:pt>
                <c:pt idx="46">
                  <c:v>49.9</c:v>
                </c:pt>
                <c:pt idx="47">
                  <c:v>51</c:v>
                </c:pt>
                <c:pt idx="48">
                  <c:v>51</c:v>
                </c:pt>
                <c:pt idx="49">
                  <c:v>51.1</c:v>
                </c:pt>
                <c:pt idx="50">
                  <c:v>51.1</c:v>
                </c:pt>
                <c:pt idx="51">
                  <c:v>51.5</c:v>
                </c:pt>
                <c:pt idx="52">
                  <c:v>51.5</c:v>
                </c:pt>
                <c:pt idx="53">
                  <c:v>51.9</c:v>
                </c:pt>
                <c:pt idx="54">
                  <c:v>51.9</c:v>
                </c:pt>
                <c:pt idx="55">
                  <c:v>52</c:v>
                </c:pt>
                <c:pt idx="56">
                  <c:v>52.2</c:v>
                </c:pt>
                <c:pt idx="57">
                  <c:v>52.3</c:v>
                </c:pt>
                <c:pt idx="58">
                  <c:v>52.5</c:v>
                </c:pt>
                <c:pt idx="59">
                  <c:v>52.5</c:v>
                </c:pt>
                <c:pt idx="60">
                  <c:v>52.9</c:v>
                </c:pt>
                <c:pt idx="61">
                  <c:v>53.1</c:v>
                </c:pt>
                <c:pt idx="62">
                  <c:v>53.2</c:v>
                </c:pt>
                <c:pt idx="63">
                  <c:v>53.3</c:v>
                </c:pt>
                <c:pt idx="64">
                  <c:v>53.5</c:v>
                </c:pt>
                <c:pt idx="65">
                  <c:v>53.8</c:v>
                </c:pt>
                <c:pt idx="66">
                  <c:v>53.9</c:v>
                </c:pt>
                <c:pt idx="67">
                  <c:v>54.1</c:v>
                </c:pt>
                <c:pt idx="68">
                  <c:v>54.3</c:v>
                </c:pt>
                <c:pt idx="69">
                  <c:v>54.3</c:v>
                </c:pt>
                <c:pt idx="70">
                  <c:v>54.3</c:v>
                </c:pt>
                <c:pt idx="71">
                  <c:v>54.4</c:v>
                </c:pt>
                <c:pt idx="72">
                  <c:v>54.5</c:v>
                </c:pt>
                <c:pt idx="73">
                  <c:v>55</c:v>
                </c:pt>
                <c:pt idx="74">
                  <c:v>55.2</c:v>
                </c:pt>
                <c:pt idx="75">
                  <c:v>56</c:v>
                </c:pt>
                <c:pt idx="76">
                  <c:v>56.3</c:v>
                </c:pt>
                <c:pt idx="77">
                  <c:v>56.6</c:v>
                </c:pt>
                <c:pt idx="78">
                  <c:v>56.9</c:v>
                </c:pt>
                <c:pt idx="79">
                  <c:v>57</c:v>
                </c:pt>
                <c:pt idx="80">
                  <c:v>57</c:v>
                </c:pt>
                <c:pt idx="81">
                  <c:v>57.2</c:v>
                </c:pt>
                <c:pt idx="82">
                  <c:v>57.3</c:v>
                </c:pt>
                <c:pt idx="83">
                  <c:v>57.3</c:v>
                </c:pt>
                <c:pt idx="84">
                  <c:v>57.5</c:v>
                </c:pt>
                <c:pt idx="85">
                  <c:v>57.6</c:v>
                </c:pt>
                <c:pt idx="86">
                  <c:v>58</c:v>
                </c:pt>
                <c:pt idx="87">
                  <c:v>58</c:v>
                </c:pt>
                <c:pt idx="88">
                  <c:v>58.3</c:v>
                </c:pt>
                <c:pt idx="89">
                  <c:v>58.5</c:v>
                </c:pt>
                <c:pt idx="90">
                  <c:v>58.7</c:v>
                </c:pt>
                <c:pt idx="91">
                  <c:v>58.9</c:v>
                </c:pt>
                <c:pt idx="92">
                  <c:v>59</c:v>
                </c:pt>
                <c:pt idx="93">
                  <c:v>59.1</c:v>
                </c:pt>
                <c:pt idx="94">
                  <c:v>59.4</c:v>
                </c:pt>
                <c:pt idx="95">
                  <c:v>59.5</c:v>
                </c:pt>
                <c:pt idx="96">
                  <c:v>59.5</c:v>
                </c:pt>
                <c:pt idx="97">
                  <c:v>59.5</c:v>
                </c:pt>
                <c:pt idx="98">
                  <c:v>59.5</c:v>
                </c:pt>
                <c:pt idx="99">
                  <c:v>59.6</c:v>
                </c:pt>
                <c:pt idx="100">
                  <c:v>59.7</c:v>
                </c:pt>
                <c:pt idx="101">
                  <c:v>59.8</c:v>
                </c:pt>
                <c:pt idx="102">
                  <c:v>59.8</c:v>
                </c:pt>
                <c:pt idx="103">
                  <c:v>60</c:v>
                </c:pt>
                <c:pt idx="104">
                  <c:v>60</c:v>
                </c:pt>
                <c:pt idx="105">
                  <c:v>60.1</c:v>
                </c:pt>
                <c:pt idx="106">
                  <c:v>60.2</c:v>
                </c:pt>
                <c:pt idx="107">
                  <c:v>60.2</c:v>
                </c:pt>
                <c:pt idx="108">
                  <c:v>60.5</c:v>
                </c:pt>
                <c:pt idx="109">
                  <c:v>60.6</c:v>
                </c:pt>
                <c:pt idx="110">
                  <c:v>60.7</c:v>
                </c:pt>
                <c:pt idx="111">
                  <c:v>60.8</c:v>
                </c:pt>
                <c:pt idx="112">
                  <c:v>60.9</c:v>
                </c:pt>
                <c:pt idx="113">
                  <c:v>61</c:v>
                </c:pt>
                <c:pt idx="114">
                  <c:v>61</c:v>
                </c:pt>
                <c:pt idx="115">
                  <c:v>61</c:v>
                </c:pt>
                <c:pt idx="116">
                  <c:v>61</c:v>
                </c:pt>
                <c:pt idx="117">
                  <c:v>61.1</c:v>
                </c:pt>
                <c:pt idx="118">
                  <c:v>61.2</c:v>
                </c:pt>
                <c:pt idx="119">
                  <c:v>61.4</c:v>
                </c:pt>
                <c:pt idx="120">
                  <c:v>61.4</c:v>
                </c:pt>
                <c:pt idx="121">
                  <c:v>61.5</c:v>
                </c:pt>
                <c:pt idx="122">
                  <c:v>61.5</c:v>
                </c:pt>
                <c:pt idx="123">
                  <c:v>61.5</c:v>
                </c:pt>
                <c:pt idx="124">
                  <c:v>61.5</c:v>
                </c:pt>
                <c:pt idx="125">
                  <c:v>61.5</c:v>
                </c:pt>
                <c:pt idx="126">
                  <c:v>61.5</c:v>
                </c:pt>
                <c:pt idx="127">
                  <c:v>61.8</c:v>
                </c:pt>
                <c:pt idx="128">
                  <c:v>61.9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62.1</c:v>
                </c:pt>
                <c:pt idx="135">
                  <c:v>62.1</c:v>
                </c:pt>
                <c:pt idx="136">
                  <c:v>62.2</c:v>
                </c:pt>
                <c:pt idx="137">
                  <c:v>62.2</c:v>
                </c:pt>
                <c:pt idx="138">
                  <c:v>62.3</c:v>
                </c:pt>
                <c:pt idx="139">
                  <c:v>62.4</c:v>
                </c:pt>
                <c:pt idx="140">
                  <c:v>62.4</c:v>
                </c:pt>
                <c:pt idx="141">
                  <c:v>62.5</c:v>
                </c:pt>
                <c:pt idx="142">
                  <c:v>62.5</c:v>
                </c:pt>
                <c:pt idx="143">
                  <c:v>62.6</c:v>
                </c:pt>
                <c:pt idx="144">
                  <c:v>62.7</c:v>
                </c:pt>
                <c:pt idx="145">
                  <c:v>62.9</c:v>
                </c:pt>
                <c:pt idx="146">
                  <c:v>62.9</c:v>
                </c:pt>
                <c:pt idx="147">
                  <c:v>63</c:v>
                </c:pt>
                <c:pt idx="148">
                  <c:v>63</c:v>
                </c:pt>
                <c:pt idx="149">
                  <c:v>63</c:v>
                </c:pt>
                <c:pt idx="150">
                  <c:v>63</c:v>
                </c:pt>
                <c:pt idx="151">
                  <c:v>63.1</c:v>
                </c:pt>
                <c:pt idx="152">
                  <c:v>63.2</c:v>
                </c:pt>
                <c:pt idx="153">
                  <c:v>63.2</c:v>
                </c:pt>
                <c:pt idx="154">
                  <c:v>63.4</c:v>
                </c:pt>
                <c:pt idx="155">
                  <c:v>63.4</c:v>
                </c:pt>
                <c:pt idx="156">
                  <c:v>63.4</c:v>
                </c:pt>
                <c:pt idx="157">
                  <c:v>63.4</c:v>
                </c:pt>
                <c:pt idx="158">
                  <c:v>63.4</c:v>
                </c:pt>
                <c:pt idx="159">
                  <c:v>63.6</c:v>
                </c:pt>
                <c:pt idx="160">
                  <c:v>63.7</c:v>
                </c:pt>
                <c:pt idx="161">
                  <c:v>63.7</c:v>
                </c:pt>
                <c:pt idx="162">
                  <c:v>63.8</c:v>
                </c:pt>
                <c:pt idx="163">
                  <c:v>64</c:v>
                </c:pt>
                <c:pt idx="164">
                  <c:v>64</c:v>
                </c:pt>
                <c:pt idx="165">
                  <c:v>64</c:v>
                </c:pt>
                <c:pt idx="166">
                  <c:v>64.099999999999994</c:v>
                </c:pt>
                <c:pt idx="167">
                  <c:v>64.099999999999994</c:v>
                </c:pt>
                <c:pt idx="168">
                  <c:v>64.2</c:v>
                </c:pt>
                <c:pt idx="169">
                  <c:v>64.2</c:v>
                </c:pt>
                <c:pt idx="170">
                  <c:v>64.3</c:v>
                </c:pt>
                <c:pt idx="171">
                  <c:v>64.5</c:v>
                </c:pt>
                <c:pt idx="172">
                  <c:v>64.5</c:v>
                </c:pt>
                <c:pt idx="173">
                  <c:v>64.5</c:v>
                </c:pt>
                <c:pt idx="174">
                  <c:v>64.599999999999994</c:v>
                </c:pt>
                <c:pt idx="175">
                  <c:v>64.599999999999994</c:v>
                </c:pt>
                <c:pt idx="176">
                  <c:v>64.8</c:v>
                </c:pt>
                <c:pt idx="177">
                  <c:v>64.8</c:v>
                </c:pt>
                <c:pt idx="178">
                  <c:v>64.8</c:v>
                </c:pt>
                <c:pt idx="179">
                  <c:v>64.8</c:v>
                </c:pt>
                <c:pt idx="180">
                  <c:v>65</c:v>
                </c:pt>
                <c:pt idx="181">
                  <c:v>65</c:v>
                </c:pt>
                <c:pt idx="182">
                  <c:v>65.2</c:v>
                </c:pt>
                <c:pt idx="183">
                  <c:v>65.2</c:v>
                </c:pt>
                <c:pt idx="184">
                  <c:v>65.2</c:v>
                </c:pt>
                <c:pt idx="185">
                  <c:v>65.3</c:v>
                </c:pt>
                <c:pt idx="186">
                  <c:v>65.3</c:v>
                </c:pt>
                <c:pt idx="187">
                  <c:v>65.400000000000006</c:v>
                </c:pt>
                <c:pt idx="188">
                  <c:v>65.400000000000006</c:v>
                </c:pt>
                <c:pt idx="189">
                  <c:v>65.400000000000006</c:v>
                </c:pt>
                <c:pt idx="190">
                  <c:v>65.400000000000006</c:v>
                </c:pt>
                <c:pt idx="191">
                  <c:v>65.5</c:v>
                </c:pt>
                <c:pt idx="192">
                  <c:v>65.5</c:v>
                </c:pt>
                <c:pt idx="193">
                  <c:v>65.5</c:v>
                </c:pt>
                <c:pt idx="194">
                  <c:v>65.599999999999994</c:v>
                </c:pt>
                <c:pt idx="195">
                  <c:v>65.7</c:v>
                </c:pt>
                <c:pt idx="196">
                  <c:v>65.900000000000006</c:v>
                </c:pt>
                <c:pt idx="197">
                  <c:v>65.900000000000006</c:v>
                </c:pt>
                <c:pt idx="198">
                  <c:v>66</c:v>
                </c:pt>
                <c:pt idx="199">
                  <c:v>66</c:v>
                </c:pt>
                <c:pt idx="200">
                  <c:v>66</c:v>
                </c:pt>
                <c:pt idx="201">
                  <c:v>66</c:v>
                </c:pt>
                <c:pt idx="202">
                  <c:v>66</c:v>
                </c:pt>
                <c:pt idx="203">
                  <c:v>66</c:v>
                </c:pt>
                <c:pt idx="204">
                  <c:v>66</c:v>
                </c:pt>
                <c:pt idx="205">
                  <c:v>66</c:v>
                </c:pt>
                <c:pt idx="206">
                  <c:v>66.099999999999994</c:v>
                </c:pt>
                <c:pt idx="207">
                  <c:v>66.099999999999994</c:v>
                </c:pt>
                <c:pt idx="208">
                  <c:v>66.2</c:v>
                </c:pt>
                <c:pt idx="209">
                  <c:v>66.2</c:v>
                </c:pt>
                <c:pt idx="210">
                  <c:v>66.3</c:v>
                </c:pt>
                <c:pt idx="211">
                  <c:v>66.3</c:v>
                </c:pt>
                <c:pt idx="212">
                  <c:v>66.3</c:v>
                </c:pt>
                <c:pt idx="213">
                  <c:v>66.400000000000006</c:v>
                </c:pt>
                <c:pt idx="214">
                  <c:v>66.5</c:v>
                </c:pt>
                <c:pt idx="215">
                  <c:v>66.5</c:v>
                </c:pt>
                <c:pt idx="216">
                  <c:v>66.5</c:v>
                </c:pt>
                <c:pt idx="217">
                  <c:v>66.5</c:v>
                </c:pt>
                <c:pt idx="218">
                  <c:v>66.5</c:v>
                </c:pt>
                <c:pt idx="219">
                  <c:v>66.599999999999994</c:v>
                </c:pt>
                <c:pt idx="220">
                  <c:v>66.599999999999994</c:v>
                </c:pt>
                <c:pt idx="221">
                  <c:v>66.599999999999994</c:v>
                </c:pt>
                <c:pt idx="222">
                  <c:v>66.599999999999994</c:v>
                </c:pt>
                <c:pt idx="223">
                  <c:v>66.599999999999994</c:v>
                </c:pt>
                <c:pt idx="224">
                  <c:v>66.599999999999994</c:v>
                </c:pt>
                <c:pt idx="225">
                  <c:v>66.599999999999994</c:v>
                </c:pt>
                <c:pt idx="226">
                  <c:v>66.7</c:v>
                </c:pt>
                <c:pt idx="227">
                  <c:v>66.7</c:v>
                </c:pt>
                <c:pt idx="228">
                  <c:v>66.7</c:v>
                </c:pt>
                <c:pt idx="229">
                  <c:v>66.8</c:v>
                </c:pt>
                <c:pt idx="230">
                  <c:v>66.8</c:v>
                </c:pt>
                <c:pt idx="231">
                  <c:v>66.8</c:v>
                </c:pt>
                <c:pt idx="232">
                  <c:v>66.900000000000006</c:v>
                </c:pt>
                <c:pt idx="233">
                  <c:v>66.900000000000006</c:v>
                </c:pt>
                <c:pt idx="234">
                  <c:v>67</c:v>
                </c:pt>
                <c:pt idx="235">
                  <c:v>67</c:v>
                </c:pt>
                <c:pt idx="236">
                  <c:v>67.099999999999994</c:v>
                </c:pt>
                <c:pt idx="237">
                  <c:v>67.099999999999994</c:v>
                </c:pt>
                <c:pt idx="238">
                  <c:v>67.099999999999994</c:v>
                </c:pt>
                <c:pt idx="239">
                  <c:v>67.3</c:v>
                </c:pt>
                <c:pt idx="240">
                  <c:v>67.3</c:v>
                </c:pt>
                <c:pt idx="241">
                  <c:v>67.3</c:v>
                </c:pt>
                <c:pt idx="242">
                  <c:v>67.3</c:v>
                </c:pt>
                <c:pt idx="243">
                  <c:v>67.3</c:v>
                </c:pt>
                <c:pt idx="244">
                  <c:v>67.3</c:v>
                </c:pt>
                <c:pt idx="245">
                  <c:v>67.400000000000006</c:v>
                </c:pt>
                <c:pt idx="246">
                  <c:v>67.400000000000006</c:v>
                </c:pt>
                <c:pt idx="247">
                  <c:v>67.5</c:v>
                </c:pt>
                <c:pt idx="248">
                  <c:v>67.5</c:v>
                </c:pt>
                <c:pt idx="249">
                  <c:v>67.5</c:v>
                </c:pt>
                <c:pt idx="250">
                  <c:v>67.5</c:v>
                </c:pt>
                <c:pt idx="251">
                  <c:v>67.599999999999994</c:v>
                </c:pt>
                <c:pt idx="252">
                  <c:v>67.599999999999994</c:v>
                </c:pt>
                <c:pt idx="253">
                  <c:v>67.599999999999994</c:v>
                </c:pt>
                <c:pt idx="254">
                  <c:v>67.599999999999994</c:v>
                </c:pt>
                <c:pt idx="255">
                  <c:v>67.7</c:v>
                </c:pt>
                <c:pt idx="256">
                  <c:v>67.7</c:v>
                </c:pt>
                <c:pt idx="257">
                  <c:v>67.8</c:v>
                </c:pt>
                <c:pt idx="258">
                  <c:v>67.8</c:v>
                </c:pt>
                <c:pt idx="259">
                  <c:v>67.8</c:v>
                </c:pt>
                <c:pt idx="260">
                  <c:v>67.8</c:v>
                </c:pt>
                <c:pt idx="261">
                  <c:v>67.900000000000006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68.099999999999994</c:v>
                </c:pt>
                <c:pt idx="269">
                  <c:v>68.099999999999994</c:v>
                </c:pt>
                <c:pt idx="270">
                  <c:v>68.2</c:v>
                </c:pt>
                <c:pt idx="271">
                  <c:v>68.2</c:v>
                </c:pt>
                <c:pt idx="272">
                  <c:v>68.5</c:v>
                </c:pt>
                <c:pt idx="273">
                  <c:v>68.5</c:v>
                </c:pt>
                <c:pt idx="274">
                  <c:v>68.5</c:v>
                </c:pt>
                <c:pt idx="275">
                  <c:v>68.5</c:v>
                </c:pt>
                <c:pt idx="276">
                  <c:v>68.599999999999994</c:v>
                </c:pt>
                <c:pt idx="277">
                  <c:v>68.8</c:v>
                </c:pt>
                <c:pt idx="278">
                  <c:v>68.8</c:v>
                </c:pt>
                <c:pt idx="279">
                  <c:v>68.8</c:v>
                </c:pt>
                <c:pt idx="280">
                  <c:v>68.8</c:v>
                </c:pt>
                <c:pt idx="281">
                  <c:v>68.900000000000006</c:v>
                </c:pt>
                <c:pt idx="282">
                  <c:v>69</c:v>
                </c:pt>
                <c:pt idx="283">
                  <c:v>69.099999999999994</c:v>
                </c:pt>
                <c:pt idx="284">
                  <c:v>69.099999999999994</c:v>
                </c:pt>
                <c:pt idx="285">
                  <c:v>69.2</c:v>
                </c:pt>
                <c:pt idx="286">
                  <c:v>69.2</c:v>
                </c:pt>
                <c:pt idx="287">
                  <c:v>69.400000000000006</c:v>
                </c:pt>
                <c:pt idx="288">
                  <c:v>69.400000000000006</c:v>
                </c:pt>
                <c:pt idx="289">
                  <c:v>69.400000000000006</c:v>
                </c:pt>
                <c:pt idx="290">
                  <c:v>69.5</c:v>
                </c:pt>
                <c:pt idx="291">
                  <c:v>69.5</c:v>
                </c:pt>
                <c:pt idx="292">
                  <c:v>69.7</c:v>
                </c:pt>
                <c:pt idx="293">
                  <c:v>69.7</c:v>
                </c:pt>
                <c:pt idx="294">
                  <c:v>69.8</c:v>
                </c:pt>
                <c:pt idx="295">
                  <c:v>69.8</c:v>
                </c:pt>
                <c:pt idx="296">
                  <c:v>69.900000000000006</c:v>
                </c:pt>
                <c:pt idx="297">
                  <c:v>70</c:v>
                </c:pt>
                <c:pt idx="298">
                  <c:v>70.099999999999994</c:v>
                </c:pt>
                <c:pt idx="299">
                  <c:v>70.2</c:v>
                </c:pt>
                <c:pt idx="300">
                  <c:v>70.2</c:v>
                </c:pt>
                <c:pt idx="301">
                  <c:v>70.2</c:v>
                </c:pt>
                <c:pt idx="302">
                  <c:v>70.2</c:v>
                </c:pt>
                <c:pt idx="303">
                  <c:v>70.3</c:v>
                </c:pt>
                <c:pt idx="304">
                  <c:v>70.400000000000006</c:v>
                </c:pt>
                <c:pt idx="305">
                  <c:v>70.5</c:v>
                </c:pt>
                <c:pt idx="306">
                  <c:v>70.5</c:v>
                </c:pt>
                <c:pt idx="307">
                  <c:v>70.599999999999994</c:v>
                </c:pt>
                <c:pt idx="308">
                  <c:v>70.7</c:v>
                </c:pt>
                <c:pt idx="309">
                  <c:v>70.7</c:v>
                </c:pt>
                <c:pt idx="310">
                  <c:v>70.7</c:v>
                </c:pt>
                <c:pt idx="311">
                  <c:v>70.8</c:v>
                </c:pt>
                <c:pt idx="312">
                  <c:v>71</c:v>
                </c:pt>
                <c:pt idx="313">
                  <c:v>71</c:v>
                </c:pt>
                <c:pt idx="314">
                  <c:v>71.099999999999994</c:v>
                </c:pt>
                <c:pt idx="315">
                  <c:v>71.2</c:v>
                </c:pt>
                <c:pt idx="316">
                  <c:v>71.2</c:v>
                </c:pt>
                <c:pt idx="317">
                  <c:v>71.3</c:v>
                </c:pt>
                <c:pt idx="318">
                  <c:v>71.3</c:v>
                </c:pt>
                <c:pt idx="319">
                  <c:v>71.5</c:v>
                </c:pt>
                <c:pt idx="320">
                  <c:v>71.8</c:v>
                </c:pt>
                <c:pt idx="321">
                  <c:v>71.8</c:v>
                </c:pt>
                <c:pt idx="322">
                  <c:v>71.900000000000006</c:v>
                </c:pt>
                <c:pt idx="323">
                  <c:v>72</c:v>
                </c:pt>
                <c:pt idx="324">
                  <c:v>72</c:v>
                </c:pt>
                <c:pt idx="325">
                  <c:v>72</c:v>
                </c:pt>
                <c:pt idx="326">
                  <c:v>72</c:v>
                </c:pt>
                <c:pt idx="327">
                  <c:v>72</c:v>
                </c:pt>
                <c:pt idx="328">
                  <c:v>72.099999999999994</c:v>
                </c:pt>
                <c:pt idx="329">
                  <c:v>72.2</c:v>
                </c:pt>
                <c:pt idx="330">
                  <c:v>72.3</c:v>
                </c:pt>
                <c:pt idx="331">
                  <c:v>72.3</c:v>
                </c:pt>
                <c:pt idx="332">
                  <c:v>72.3</c:v>
                </c:pt>
                <c:pt idx="333">
                  <c:v>72.400000000000006</c:v>
                </c:pt>
                <c:pt idx="334">
                  <c:v>72.400000000000006</c:v>
                </c:pt>
                <c:pt idx="335">
                  <c:v>72.5</c:v>
                </c:pt>
                <c:pt idx="336">
                  <c:v>72.7</c:v>
                </c:pt>
                <c:pt idx="337">
                  <c:v>72.7</c:v>
                </c:pt>
                <c:pt idx="338">
                  <c:v>72.7</c:v>
                </c:pt>
                <c:pt idx="339">
                  <c:v>72.900000000000006</c:v>
                </c:pt>
                <c:pt idx="340">
                  <c:v>73</c:v>
                </c:pt>
                <c:pt idx="341">
                  <c:v>73.099999999999994</c:v>
                </c:pt>
                <c:pt idx="342">
                  <c:v>73.3</c:v>
                </c:pt>
                <c:pt idx="343">
                  <c:v>73.3</c:v>
                </c:pt>
                <c:pt idx="344">
                  <c:v>73.400000000000006</c:v>
                </c:pt>
                <c:pt idx="345">
                  <c:v>73.400000000000006</c:v>
                </c:pt>
                <c:pt idx="346">
                  <c:v>73.5</c:v>
                </c:pt>
                <c:pt idx="347">
                  <c:v>73.599999999999994</c:v>
                </c:pt>
                <c:pt idx="348">
                  <c:v>73.599999999999994</c:v>
                </c:pt>
                <c:pt idx="349">
                  <c:v>73.8</c:v>
                </c:pt>
                <c:pt idx="350">
                  <c:v>73.900000000000006</c:v>
                </c:pt>
                <c:pt idx="351">
                  <c:v>74</c:v>
                </c:pt>
                <c:pt idx="352">
                  <c:v>74</c:v>
                </c:pt>
                <c:pt idx="353">
                  <c:v>74.099999999999994</c:v>
                </c:pt>
                <c:pt idx="354">
                  <c:v>74.400000000000006</c:v>
                </c:pt>
                <c:pt idx="355">
                  <c:v>74.5</c:v>
                </c:pt>
                <c:pt idx="356">
                  <c:v>74.599999999999994</c:v>
                </c:pt>
                <c:pt idx="357">
                  <c:v>74.599999999999994</c:v>
                </c:pt>
                <c:pt idx="358">
                  <c:v>74.8</c:v>
                </c:pt>
                <c:pt idx="359">
                  <c:v>74.900000000000006</c:v>
                </c:pt>
                <c:pt idx="360">
                  <c:v>76</c:v>
                </c:pt>
                <c:pt idx="361">
                  <c:v>76.099999999999994</c:v>
                </c:pt>
                <c:pt idx="362">
                  <c:v>76.3</c:v>
                </c:pt>
                <c:pt idx="363">
                  <c:v>76.5</c:v>
                </c:pt>
                <c:pt idx="364">
                  <c:v>76.599999999999994</c:v>
                </c:pt>
                <c:pt idx="365">
                  <c:v>76.7</c:v>
                </c:pt>
                <c:pt idx="366">
                  <c:v>76.8</c:v>
                </c:pt>
                <c:pt idx="367">
                  <c:v>77</c:v>
                </c:pt>
                <c:pt idx="368">
                  <c:v>77.3</c:v>
                </c:pt>
                <c:pt idx="369">
                  <c:v>77.400000000000006</c:v>
                </c:pt>
                <c:pt idx="370">
                  <c:v>78.2</c:v>
                </c:pt>
                <c:pt idx="371">
                  <c:v>78.2</c:v>
                </c:pt>
                <c:pt idx="372">
                  <c:v>78.599999999999994</c:v>
                </c:pt>
                <c:pt idx="373">
                  <c:v>80.3</c:v>
                </c:pt>
                <c:pt idx="374">
                  <c:v>80.5</c:v>
                </c:pt>
                <c:pt idx="375">
                  <c:v>81.5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B-4493-8F14-C26FBD0AD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40816"/>
        <c:axId val="1573441296"/>
      </c:scatterChart>
      <c:valAx>
        <c:axId val="157344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N°</a:t>
                </a:r>
                <a:r>
                  <a:rPr lang="en-US" baseline="0"/>
                  <a:t> de Observación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1296"/>
        <c:crosses val="autoZero"/>
        <c:crossBetween val="midCat"/>
      </c:valAx>
      <c:valAx>
        <c:axId val="157344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de LT</a:t>
                </a:r>
                <a:r>
                  <a:rPr lang="en-US" baseline="0"/>
                  <a:t> [cm]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846446907575865E-2"/>
              <c:y val="0.346688726709319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Distribucion</a:t>
            </a:r>
            <a:r>
              <a:rPr lang="en-US" baseline="0"/>
              <a:t> de Frecuencias Observadas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'K-S con LT'!$H$19:$H$43</c:f>
              <c:numCache>
                <c:formatCode>General</c:formatCode>
                <c:ptCount val="25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14</c:v>
                </c:pt>
                <c:pt idx="8">
                  <c:v>25</c:v>
                </c:pt>
                <c:pt idx="9">
                  <c:v>28</c:v>
                </c:pt>
                <c:pt idx="10">
                  <c:v>27</c:v>
                </c:pt>
                <c:pt idx="11">
                  <c:v>24</c:v>
                </c:pt>
                <c:pt idx="12">
                  <c:v>71</c:v>
                </c:pt>
                <c:pt idx="13">
                  <c:v>81</c:v>
                </c:pt>
                <c:pt idx="14">
                  <c:v>104</c:v>
                </c:pt>
                <c:pt idx="15">
                  <c:v>77</c:v>
                </c:pt>
                <c:pt idx="16">
                  <c:v>36</c:v>
                </c:pt>
                <c:pt idx="17">
                  <c:v>22</c:v>
                </c:pt>
                <c:pt idx="18">
                  <c:v>18</c:v>
                </c:pt>
                <c:pt idx="19">
                  <c:v>17</c:v>
                </c:pt>
                <c:pt idx="20">
                  <c:v>11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4-40FC-BE44-5A5C8285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261631"/>
        <c:axId val="1014253951"/>
      </c:barChart>
      <c:catAx>
        <c:axId val="1014261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Clases de Tallas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53951"/>
        <c:crosses val="autoZero"/>
        <c:auto val="1"/>
        <c:lblAlgn val="ctr"/>
        <c:lblOffset val="100"/>
        <c:noMultiLvlLbl val="0"/>
      </c:catAx>
      <c:valAx>
        <c:axId val="101425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6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Dispersion de los datos LPC hembras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'K-S con Precaudal'!$C$5:$C$204</c:f>
              <c:numCache>
                <c:formatCode>General</c:formatCode>
                <c:ptCount val="200"/>
                <c:pt idx="0">
                  <c:v>8.8000000000000007</c:v>
                </c:pt>
                <c:pt idx="1">
                  <c:v>9.5</c:v>
                </c:pt>
                <c:pt idx="2">
                  <c:v>9.8000000000000007</c:v>
                </c:pt>
                <c:pt idx="3">
                  <c:v>10</c:v>
                </c:pt>
                <c:pt idx="4">
                  <c:v>10.5</c:v>
                </c:pt>
                <c:pt idx="5">
                  <c:v>21.5</c:v>
                </c:pt>
                <c:pt idx="6">
                  <c:v>23.3</c:v>
                </c:pt>
                <c:pt idx="7">
                  <c:v>26.35</c:v>
                </c:pt>
                <c:pt idx="8">
                  <c:v>27.9</c:v>
                </c:pt>
                <c:pt idx="9">
                  <c:v>28</c:v>
                </c:pt>
                <c:pt idx="10">
                  <c:v>28.1</c:v>
                </c:pt>
                <c:pt idx="11">
                  <c:v>28.2</c:v>
                </c:pt>
                <c:pt idx="12">
                  <c:v>28.8</c:v>
                </c:pt>
                <c:pt idx="13">
                  <c:v>29</c:v>
                </c:pt>
                <c:pt idx="14">
                  <c:v>29</c:v>
                </c:pt>
                <c:pt idx="15">
                  <c:v>29.1</c:v>
                </c:pt>
                <c:pt idx="16">
                  <c:v>29.3</c:v>
                </c:pt>
                <c:pt idx="17">
                  <c:v>29.7</c:v>
                </c:pt>
                <c:pt idx="18">
                  <c:v>29.8</c:v>
                </c:pt>
                <c:pt idx="19">
                  <c:v>30.6</c:v>
                </c:pt>
                <c:pt idx="20">
                  <c:v>30.6</c:v>
                </c:pt>
                <c:pt idx="21">
                  <c:v>31.2</c:v>
                </c:pt>
                <c:pt idx="22">
                  <c:v>31.4</c:v>
                </c:pt>
                <c:pt idx="23">
                  <c:v>31.5</c:v>
                </c:pt>
                <c:pt idx="24">
                  <c:v>31.6</c:v>
                </c:pt>
                <c:pt idx="25">
                  <c:v>31.7</c:v>
                </c:pt>
                <c:pt idx="26">
                  <c:v>32</c:v>
                </c:pt>
                <c:pt idx="27">
                  <c:v>32.299999999999997</c:v>
                </c:pt>
                <c:pt idx="28">
                  <c:v>32.5</c:v>
                </c:pt>
                <c:pt idx="29">
                  <c:v>32.6</c:v>
                </c:pt>
                <c:pt idx="30">
                  <c:v>33</c:v>
                </c:pt>
                <c:pt idx="31">
                  <c:v>33.299999999999997</c:v>
                </c:pt>
                <c:pt idx="32">
                  <c:v>33.4</c:v>
                </c:pt>
                <c:pt idx="33">
                  <c:v>34.9</c:v>
                </c:pt>
                <c:pt idx="34">
                  <c:v>35.200000000000003</c:v>
                </c:pt>
                <c:pt idx="35">
                  <c:v>35.4</c:v>
                </c:pt>
                <c:pt idx="36">
                  <c:v>35.6</c:v>
                </c:pt>
                <c:pt idx="37">
                  <c:v>36</c:v>
                </c:pt>
                <c:pt idx="38">
                  <c:v>36.700000000000003</c:v>
                </c:pt>
                <c:pt idx="39">
                  <c:v>37.9</c:v>
                </c:pt>
                <c:pt idx="40">
                  <c:v>37.9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39</c:v>
                </c:pt>
                <c:pt idx="45">
                  <c:v>39.4</c:v>
                </c:pt>
                <c:pt idx="46">
                  <c:v>39.5</c:v>
                </c:pt>
                <c:pt idx="47">
                  <c:v>39.700000000000003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40.700000000000003</c:v>
                </c:pt>
                <c:pt idx="51">
                  <c:v>40.799999999999997</c:v>
                </c:pt>
                <c:pt idx="52">
                  <c:v>41</c:v>
                </c:pt>
                <c:pt idx="53">
                  <c:v>41.1</c:v>
                </c:pt>
                <c:pt idx="54">
                  <c:v>41.5</c:v>
                </c:pt>
                <c:pt idx="55">
                  <c:v>41.5</c:v>
                </c:pt>
                <c:pt idx="56">
                  <c:v>41.8</c:v>
                </c:pt>
                <c:pt idx="57">
                  <c:v>42</c:v>
                </c:pt>
                <c:pt idx="58">
                  <c:v>42</c:v>
                </c:pt>
                <c:pt idx="59">
                  <c:v>42.7</c:v>
                </c:pt>
                <c:pt idx="60">
                  <c:v>43</c:v>
                </c:pt>
                <c:pt idx="61">
                  <c:v>43</c:v>
                </c:pt>
                <c:pt idx="62">
                  <c:v>43.2</c:v>
                </c:pt>
                <c:pt idx="63">
                  <c:v>43.2</c:v>
                </c:pt>
                <c:pt idx="64">
                  <c:v>43.4</c:v>
                </c:pt>
                <c:pt idx="65">
                  <c:v>43.6</c:v>
                </c:pt>
                <c:pt idx="66">
                  <c:v>43.6</c:v>
                </c:pt>
                <c:pt idx="67">
                  <c:v>43.8</c:v>
                </c:pt>
                <c:pt idx="68">
                  <c:v>43.9</c:v>
                </c:pt>
                <c:pt idx="69">
                  <c:v>44.1</c:v>
                </c:pt>
                <c:pt idx="70">
                  <c:v>44.3</c:v>
                </c:pt>
                <c:pt idx="71">
                  <c:v>44.4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45.1</c:v>
                </c:pt>
                <c:pt idx="76">
                  <c:v>45.1</c:v>
                </c:pt>
                <c:pt idx="77">
                  <c:v>45.6</c:v>
                </c:pt>
                <c:pt idx="78">
                  <c:v>45.7</c:v>
                </c:pt>
                <c:pt idx="79">
                  <c:v>46</c:v>
                </c:pt>
                <c:pt idx="80">
                  <c:v>46.1</c:v>
                </c:pt>
                <c:pt idx="81">
                  <c:v>46.3</c:v>
                </c:pt>
                <c:pt idx="82">
                  <c:v>47</c:v>
                </c:pt>
                <c:pt idx="83">
                  <c:v>47</c:v>
                </c:pt>
                <c:pt idx="84">
                  <c:v>47.3</c:v>
                </c:pt>
                <c:pt idx="85">
                  <c:v>47.3</c:v>
                </c:pt>
                <c:pt idx="86">
                  <c:v>47.3</c:v>
                </c:pt>
                <c:pt idx="87">
                  <c:v>47.4</c:v>
                </c:pt>
                <c:pt idx="88">
                  <c:v>47.5</c:v>
                </c:pt>
                <c:pt idx="89">
                  <c:v>47.5</c:v>
                </c:pt>
                <c:pt idx="90">
                  <c:v>47.5</c:v>
                </c:pt>
                <c:pt idx="91">
                  <c:v>47.6</c:v>
                </c:pt>
                <c:pt idx="92">
                  <c:v>47.7</c:v>
                </c:pt>
                <c:pt idx="93">
                  <c:v>48</c:v>
                </c:pt>
                <c:pt idx="94">
                  <c:v>48.5</c:v>
                </c:pt>
                <c:pt idx="95">
                  <c:v>48.8</c:v>
                </c:pt>
                <c:pt idx="96">
                  <c:v>49</c:v>
                </c:pt>
                <c:pt idx="97">
                  <c:v>49.1</c:v>
                </c:pt>
                <c:pt idx="98">
                  <c:v>49.2</c:v>
                </c:pt>
                <c:pt idx="99">
                  <c:v>49.4</c:v>
                </c:pt>
                <c:pt idx="100">
                  <c:v>49.5</c:v>
                </c:pt>
                <c:pt idx="101">
                  <c:v>49.5</c:v>
                </c:pt>
                <c:pt idx="102">
                  <c:v>49.8</c:v>
                </c:pt>
                <c:pt idx="103">
                  <c:v>49.9</c:v>
                </c:pt>
                <c:pt idx="104">
                  <c:v>50</c:v>
                </c:pt>
                <c:pt idx="105">
                  <c:v>50.1</c:v>
                </c:pt>
                <c:pt idx="106">
                  <c:v>50.1</c:v>
                </c:pt>
                <c:pt idx="107">
                  <c:v>50.2</c:v>
                </c:pt>
                <c:pt idx="108">
                  <c:v>50.3</c:v>
                </c:pt>
                <c:pt idx="109">
                  <c:v>50.3</c:v>
                </c:pt>
                <c:pt idx="110">
                  <c:v>50.5</c:v>
                </c:pt>
                <c:pt idx="111">
                  <c:v>50.6</c:v>
                </c:pt>
                <c:pt idx="112">
                  <c:v>50.7</c:v>
                </c:pt>
                <c:pt idx="113">
                  <c:v>51</c:v>
                </c:pt>
                <c:pt idx="114">
                  <c:v>51.3</c:v>
                </c:pt>
                <c:pt idx="115">
                  <c:v>51.4</c:v>
                </c:pt>
                <c:pt idx="116">
                  <c:v>51.8</c:v>
                </c:pt>
                <c:pt idx="117">
                  <c:v>52.1</c:v>
                </c:pt>
                <c:pt idx="118">
                  <c:v>52.2</c:v>
                </c:pt>
                <c:pt idx="119">
                  <c:v>52.3</c:v>
                </c:pt>
                <c:pt idx="120">
                  <c:v>52.3</c:v>
                </c:pt>
                <c:pt idx="121">
                  <c:v>52.6</c:v>
                </c:pt>
                <c:pt idx="122">
                  <c:v>52.7</c:v>
                </c:pt>
                <c:pt idx="123">
                  <c:v>52.8</c:v>
                </c:pt>
                <c:pt idx="124">
                  <c:v>52.8</c:v>
                </c:pt>
                <c:pt idx="125">
                  <c:v>53</c:v>
                </c:pt>
                <c:pt idx="126">
                  <c:v>53</c:v>
                </c:pt>
                <c:pt idx="127">
                  <c:v>53.1</c:v>
                </c:pt>
                <c:pt idx="128">
                  <c:v>53.5</c:v>
                </c:pt>
                <c:pt idx="129">
                  <c:v>53.6</c:v>
                </c:pt>
                <c:pt idx="130">
                  <c:v>53.7</c:v>
                </c:pt>
                <c:pt idx="131">
                  <c:v>54</c:v>
                </c:pt>
                <c:pt idx="132">
                  <c:v>54.2</c:v>
                </c:pt>
                <c:pt idx="133">
                  <c:v>54.4</c:v>
                </c:pt>
                <c:pt idx="134">
                  <c:v>54.5</c:v>
                </c:pt>
                <c:pt idx="135">
                  <c:v>54.5</c:v>
                </c:pt>
                <c:pt idx="136">
                  <c:v>54.5</c:v>
                </c:pt>
                <c:pt idx="137">
                  <c:v>54.9</c:v>
                </c:pt>
                <c:pt idx="138">
                  <c:v>54.9</c:v>
                </c:pt>
                <c:pt idx="139">
                  <c:v>55</c:v>
                </c:pt>
                <c:pt idx="140">
                  <c:v>55.1</c:v>
                </c:pt>
                <c:pt idx="141">
                  <c:v>55.4</c:v>
                </c:pt>
                <c:pt idx="142">
                  <c:v>55.5</c:v>
                </c:pt>
                <c:pt idx="143">
                  <c:v>55.6</c:v>
                </c:pt>
                <c:pt idx="144">
                  <c:v>55.6</c:v>
                </c:pt>
                <c:pt idx="145">
                  <c:v>55.8</c:v>
                </c:pt>
                <c:pt idx="146">
                  <c:v>55.9</c:v>
                </c:pt>
                <c:pt idx="147">
                  <c:v>56.1</c:v>
                </c:pt>
                <c:pt idx="148">
                  <c:v>56.2</c:v>
                </c:pt>
                <c:pt idx="149">
                  <c:v>56.2</c:v>
                </c:pt>
                <c:pt idx="150">
                  <c:v>56.4</c:v>
                </c:pt>
                <c:pt idx="151">
                  <c:v>56.5</c:v>
                </c:pt>
                <c:pt idx="152">
                  <c:v>56.5</c:v>
                </c:pt>
                <c:pt idx="153">
                  <c:v>56.6</c:v>
                </c:pt>
                <c:pt idx="154">
                  <c:v>56.7</c:v>
                </c:pt>
                <c:pt idx="155">
                  <c:v>57.1</c:v>
                </c:pt>
                <c:pt idx="156">
                  <c:v>57.2</c:v>
                </c:pt>
                <c:pt idx="157">
                  <c:v>57.5</c:v>
                </c:pt>
                <c:pt idx="158">
                  <c:v>57.5</c:v>
                </c:pt>
                <c:pt idx="159">
                  <c:v>57.6</c:v>
                </c:pt>
                <c:pt idx="160">
                  <c:v>57.7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58.2</c:v>
                </c:pt>
                <c:pt idx="165">
                  <c:v>58.6</c:v>
                </c:pt>
                <c:pt idx="166">
                  <c:v>58.7</c:v>
                </c:pt>
                <c:pt idx="167">
                  <c:v>59.2</c:v>
                </c:pt>
                <c:pt idx="168">
                  <c:v>59.2</c:v>
                </c:pt>
                <c:pt idx="169">
                  <c:v>59.7</c:v>
                </c:pt>
                <c:pt idx="170">
                  <c:v>59.9</c:v>
                </c:pt>
                <c:pt idx="171">
                  <c:v>60.1</c:v>
                </c:pt>
                <c:pt idx="172">
                  <c:v>60.1</c:v>
                </c:pt>
                <c:pt idx="173">
                  <c:v>60.6</c:v>
                </c:pt>
                <c:pt idx="174">
                  <c:v>60.7</c:v>
                </c:pt>
                <c:pt idx="175">
                  <c:v>60.8</c:v>
                </c:pt>
                <c:pt idx="176">
                  <c:v>61.1</c:v>
                </c:pt>
                <c:pt idx="177">
                  <c:v>61.2</c:v>
                </c:pt>
                <c:pt idx="178">
                  <c:v>61.3</c:v>
                </c:pt>
                <c:pt idx="179">
                  <c:v>61.5</c:v>
                </c:pt>
                <c:pt idx="180">
                  <c:v>61.5</c:v>
                </c:pt>
                <c:pt idx="181">
                  <c:v>62.5</c:v>
                </c:pt>
                <c:pt idx="182">
                  <c:v>62.5</c:v>
                </c:pt>
                <c:pt idx="183">
                  <c:v>62.7</c:v>
                </c:pt>
                <c:pt idx="184">
                  <c:v>62.9</c:v>
                </c:pt>
                <c:pt idx="185">
                  <c:v>63.3</c:v>
                </c:pt>
                <c:pt idx="186">
                  <c:v>63.3</c:v>
                </c:pt>
                <c:pt idx="187">
                  <c:v>63.4</c:v>
                </c:pt>
                <c:pt idx="188">
                  <c:v>63.5</c:v>
                </c:pt>
                <c:pt idx="189">
                  <c:v>63.5</c:v>
                </c:pt>
                <c:pt idx="190">
                  <c:v>64.3</c:v>
                </c:pt>
                <c:pt idx="191">
                  <c:v>64.3</c:v>
                </c:pt>
                <c:pt idx="192">
                  <c:v>64.599999999999994</c:v>
                </c:pt>
                <c:pt idx="193">
                  <c:v>65</c:v>
                </c:pt>
                <c:pt idx="194">
                  <c:v>65.3</c:v>
                </c:pt>
                <c:pt idx="195">
                  <c:v>66.5</c:v>
                </c:pt>
                <c:pt idx="196">
                  <c:v>66.599999999999994</c:v>
                </c:pt>
                <c:pt idx="197">
                  <c:v>68.099999999999994</c:v>
                </c:pt>
                <c:pt idx="198">
                  <c:v>77.8</c:v>
                </c:pt>
                <c:pt idx="199">
                  <c:v>86.2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31-4AC2-BA0F-7C0C06A5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43871"/>
        <c:axId val="1014247711"/>
      </c:scatterChart>
      <c:valAx>
        <c:axId val="101424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N° de Observación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47711"/>
        <c:crosses val="autoZero"/>
        <c:crossBetween val="midCat"/>
      </c:valAx>
      <c:valAx>
        <c:axId val="1014247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</a:t>
                </a:r>
                <a:r>
                  <a:rPr lang="en-US" baseline="0"/>
                  <a:t> de LPC [cm]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2512317793128104E-2"/>
              <c:y val="0.35796335219878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4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Dispersion de los datos LPC machos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'K-S con Precaudal'!$C$205:$C$577</c:f>
              <c:numCache>
                <c:formatCode>General</c:formatCode>
                <c:ptCount val="373"/>
                <c:pt idx="0">
                  <c:v>8.9600000000000009</c:v>
                </c:pt>
                <c:pt idx="1">
                  <c:v>10.4</c:v>
                </c:pt>
                <c:pt idx="2">
                  <c:v>11.2</c:v>
                </c:pt>
                <c:pt idx="3">
                  <c:v>18</c:v>
                </c:pt>
                <c:pt idx="4">
                  <c:v>27.2</c:v>
                </c:pt>
                <c:pt idx="5">
                  <c:v>27.5</c:v>
                </c:pt>
                <c:pt idx="6">
                  <c:v>28</c:v>
                </c:pt>
                <c:pt idx="7">
                  <c:v>28.4</c:v>
                </c:pt>
                <c:pt idx="8">
                  <c:v>28.5</c:v>
                </c:pt>
                <c:pt idx="9">
                  <c:v>28.6</c:v>
                </c:pt>
                <c:pt idx="10">
                  <c:v>28.6</c:v>
                </c:pt>
                <c:pt idx="11">
                  <c:v>28.7</c:v>
                </c:pt>
                <c:pt idx="12">
                  <c:v>29</c:v>
                </c:pt>
                <c:pt idx="13">
                  <c:v>29</c:v>
                </c:pt>
                <c:pt idx="14">
                  <c:v>29.2</c:v>
                </c:pt>
                <c:pt idx="15">
                  <c:v>29.3</c:v>
                </c:pt>
                <c:pt idx="16">
                  <c:v>29.5</c:v>
                </c:pt>
                <c:pt idx="17">
                  <c:v>29.8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30.2</c:v>
                </c:pt>
                <c:pt idx="22">
                  <c:v>30.4</c:v>
                </c:pt>
                <c:pt idx="23">
                  <c:v>30.6</c:v>
                </c:pt>
                <c:pt idx="24">
                  <c:v>30.6</c:v>
                </c:pt>
                <c:pt idx="25">
                  <c:v>30.8</c:v>
                </c:pt>
                <c:pt idx="26">
                  <c:v>31</c:v>
                </c:pt>
                <c:pt idx="27">
                  <c:v>31.3</c:v>
                </c:pt>
                <c:pt idx="28">
                  <c:v>31.4</c:v>
                </c:pt>
                <c:pt idx="29">
                  <c:v>31.5</c:v>
                </c:pt>
                <c:pt idx="30">
                  <c:v>31.5</c:v>
                </c:pt>
                <c:pt idx="31">
                  <c:v>31.6</c:v>
                </c:pt>
                <c:pt idx="32">
                  <c:v>31.7</c:v>
                </c:pt>
                <c:pt idx="33">
                  <c:v>31.8</c:v>
                </c:pt>
                <c:pt idx="34">
                  <c:v>32</c:v>
                </c:pt>
                <c:pt idx="35">
                  <c:v>32</c:v>
                </c:pt>
                <c:pt idx="36">
                  <c:v>32.1</c:v>
                </c:pt>
                <c:pt idx="37">
                  <c:v>32.1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32.6</c:v>
                </c:pt>
                <c:pt idx="42">
                  <c:v>33.299999999999997</c:v>
                </c:pt>
                <c:pt idx="43">
                  <c:v>33.4</c:v>
                </c:pt>
                <c:pt idx="44">
                  <c:v>33.5</c:v>
                </c:pt>
                <c:pt idx="45">
                  <c:v>33.5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34.9</c:v>
                </c:pt>
                <c:pt idx="56">
                  <c:v>35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36.1</c:v>
                </c:pt>
                <c:pt idx="60">
                  <c:v>36.5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37</c:v>
                </c:pt>
                <c:pt idx="65">
                  <c:v>37</c:v>
                </c:pt>
                <c:pt idx="66">
                  <c:v>37.200000000000003</c:v>
                </c:pt>
                <c:pt idx="67">
                  <c:v>37.5</c:v>
                </c:pt>
                <c:pt idx="68">
                  <c:v>37.700000000000003</c:v>
                </c:pt>
                <c:pt idx="69">
                  <c:v>37.9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38.1</c:v>
                </c:pt>
                <c:pt idx="74">
                  <c:v>38.6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</c:v>
                </c:pt>
                <c:pt idx="79">
                  <c:v>39.1</c:v>
                </c:pt>
                <c:pt idx="80">
                  <c:v>39.299999999999997</c:v>
                </c:pt>
                <c:pt idx="81">
                  <c:v>39.4</c:v>
                </c:pt>
                <c:pt idx="82">
                  <c:v>39.5</c:v>
                </c:pt>
                <c:pt idx="83">
                  <c:v>40</c:v>
                </c:pt>
                <c:pt idx="84">
                  <c:v>40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40.4</c:v>
                </c:pt>
                <c:pt idx="91">
                  <c:v>40.5</c:v>
                </c:pt>
                <c:pt idx="92">
                  <c:v>40.5</c:v>
                </c:pt>
                <c:pt idx="93">
                  <c:v>40.6</c:v>
                </c:pt>
                <c:pt idx="94">
                  <c:v>40.6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40.9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41.2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41.5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42</c:v>
                </c:pt>
                <c:pt idx="119">
                  <c:v>42</c:v>
                </c:pt>
                <c:pt idx="120">
                  <c:v>42.1</c:v>
                </c:pt>
                <c:pt idx="121">
                  <c:v>42.2</c:v>
                </c:pt>
                <c:pt idx="122">
                  <c:v>42.3</c:v>
                </c:pt>
                <c:pt idx="123">
                  <c:v>42.4</c:v>
                </c:pt>
                <c:pt idx="124">
                  <c:v>42.5</c:v>
                </c:pt>
                <c:pt idx="125">
                  <c:v>42.5</c:v>
                </c:pt>
                <c:pt idx="126">
                  <c:v>42.5</c:v>
                </c:pt>
                <c:pt idx="127">
                  <c:v>42.5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42.6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43.3</c:v>
                </c:pt>
                <c:pt idx="147">
                  <c:v>43.3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43.5</c:v>
                </c:pt>
                <c:pt idx="157">
                  <c:v>43.5</c:v>
                </c:pt>
                <c:pt idx="158">
                  <c:v>43.5</c:v>
                </c:pt>
                <c:pt idx="159">
                  <c:v>43.5</c:v>
                </c:pt>
                <c:pt idx="160">
                  <c:v>43.5</c:v>
                </c:pt>
                <c:pt idx="161">
                  <c:v>43.6</c:v>
                </c:pt>
                <c:pt idx="162">
                  <c:v>43.7</c:v>
                </c:pt>
                <c:pt idx="163">
                  <c:v>43.7</c:v>
                </c:pt>
                <c:pt idx="164">
                  <c:v>43.7</c:v>
                </c:pt>
                <c:pt idx="165">
                  <c:v>43.8</c:v>
                </c:pt>
                <c:pt idx="166">
                  <c:v>43.8</c:v>
                </c:pt>
                <c:pt idx="167">
                  <c:v>43.8</c:v>
                </c:pt>
                <c:pt idx="168">
                  <c:v>43.8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44</c:v>
                </c:pt>
                <c:pt idx="174">
                  <c:v>44</c:v>
                </c:pt>
                <c:pt idx="175">
                  <c:v>44</c:v>
                </c:pt>
                <c:pt idx="176">
                  <c:v>44.1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44.3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44.5</c:v>
                </c:pt>
                <c:pt idx="185">
                  <c:v>44.5</c:v>
                </c:pt>
                <c:pt idx="186">
                  <c:v>44.5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44.9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45.1</c:v>
                </c:pt>
                <c:pt idx="207">
                  <c:v>45.1</c:v>
                </c:pt>
                <c:pt idx="208">
                  <c:v>45.1</c:v>
                </c:pt>
                <c:pt idx="209">
                  <c:v>45.1</c:v>
                </c:pt>
                <c:pt idx="210">
                  <c:v>45.1</c:v>
                </c:pt>
                <c:pt idx="211">
                  <c:v>45.1</c:v>
                </c:pt>
                <c:pt idx="212">
                  <c:v>45.2</c:v>
                </c:pt>
                <c:pt idx="213">
                  <c:v>45.2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45.7</c:v>
                </c:pt>
                <c:pt idx="237">
                  <c:v>45.7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46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46</c:v>
                </c:pt>
                <c:pt idx="252">
                  <c:v>46.1</c:v>
                </c:pt>
                <c:pt idx="253">
                  <c:v>46.1</c:v>
                </c:pt>
                <c:pt idx="254">
                  <c:v>46.1</c:v>
                </c:pt>
                <c:pt idx="255">
                  <c:v>46.1</c:v>
                </c:pt>
                <c:pt idx="256">
                  <c:v>46.2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46.7</c:v>
                </c:pt>
                <c:pt idx="279">
                  <c:v>46.7</c:v>
                </c:pt>
                <c:pt idx="280">
                  <c:v>46.7</c:v>
                </c:pt>
                <c:pt idx="281">
                  <c:v>46.8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47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47</c:v>
                </c:pt>
                <c:pt idx="293">
                  <c:v>47.1</c:v>
                </c:pt>
                <c:pt idx="294">
                  <c:v>47.2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47.3</c:v>
                </c:pt>
                <c:pt idx="299">
                  <c:v>47.3</c:v>
                </c:pt>
                <c:pt idx="300">
                  <c:v>47.5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47.7</c:v>
                </c:pt>
                <c:pt idx="305">
                  <c:v>47.7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</c:v>
                </c:pt>
                <c:pt idx="312">
                  <c:v>48</c:v>
                </c:pt>
                <c:pt idx="313">
                  <c:v>48.1</c:v>
                </c:pt>
                <c:pt idx="314">
                  <c:v>48.1</c:v>
                </c:pt>
                <c:pt idx="315">
                  <c:v>48.1</c:v>
                </c:pt>
                <c:pt idx="316">
                  <c:v>48.2</c:v>
                </c:pt>
                <c:pt idx="317">
                  <c:v>48.3</c:v>
                </c:pt>
                <c:pt idx="318">
                  <c:v>48.3</c:v>
                </c:pt>
                <c:pt idx="319">
                  <c:v>48.3</c:v>
                </c:pt>
                <c:pt idx="320">
                  <c:v>48.3</c:v>
                </c:pt>
                <c:pt idx="321">
                  <c:v>48.4</c:v>
                </c:pt>
                <c:pt idx="322">
                  <c:v>48.5</c:v>
                </c:pt>
                <c:pt idx="323">
                  <c:v>48.5</c:v>
                </c:pt>
                <c:pt idx="324">
                  <c:v>48.5</c:v>
                </c:pt>
                <c:pt idx="325">
                  <c:v>48.6</c:v>
                </c:pt>
                <c:pt idx="326">
                  <c:v>48.7</c:v>
                </c:pt>
                <c:pt idx="327">
                  <c:v>48.9</c:v>
                </c:pt>
                <c:pt idx="328">
                  <c:v>48.9</c:v>
                </c:pt>
                <c:pt idx="329">
                  <c:v>49</c:v>
                </c:pt>
                <c:pt idx="330">
                  <c:v>49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49.3</c:v>
                </c:pt>
                <c:pt idx="335">
                  <c:v>49.4</c:v>
                </c:pt>
                <c:pt idx="336">
                  <c:v>49.4</c:v>
                </c:pt>
                <c:pt idx="337">
                  <c:v>49.5</c:v>
                </c:pt>
                <c:pt idx="338">
                  <c:v>49.5</c:v>
                </c:pt>
                <c:pt idx="339">
                  <c:v>49.6</c:v>
                </c:pt>
                <c:pt idx="340">
                  <c:v>49.7</c:v>
                </c:pt>
                <c:pt idx="341">
                  <c:v>49.8</c:v>
                </c:pt>
                <c:pt idx="342">
                  <c:v>49.9</c:v>
                </c:pt>
                <c:pt idx="343">
                  <c:v>49.9</c:v>
                </c:pt>
                <c:pt idx="344">
                  <c:v>50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50.2</c:v>
                </c:pt>
                <c:pt idx="349">
                  <c:v>50.2</c:v>
                </c:pt>
                <c:pt idx="350">
                  <c:v>50.2</c:v>
                </c:pt>
                <c:pt idx="351">
                  <c:v>50.2</c:v>
                </c:pt>
                <c:pt idx="352">
                  <c:v>50.4</c:v>
                </c:pt>
                <c:pt idx="353">
                  <c:v>50.4</c:v>
                </c:pt>
                <c:pt idx="354">
                  <c:v>50.5</c:v>
                </c:pt>
                <c:pt idx="355">
                  <c:v>50.5</c:v>
                </c:pt>
                <c:pt idx="356">
                  <c:v>50.5</c:v>
                </c:pt>
                <c:pt idx="357">
                  <c:v>50.7</c:v>
                </c:pt>
                <c:pt idx="358">
                  <c:v>51</c:v>
                </c:pt>
                <c:pt idx="359">
                  <c:v>51.2</c:v>
                </c:pt>
                <c:pt idx="360">
                  <c:v>51.3</c:v>
                </c:pt>
                <c:pt idx="361">
                  <c:v>51.3</c:v>
                </c:pt>
                <c:pt idx="362">
                  <c:v>51.4</c:v>
                </c:pt>
                <c:pt idx="363">
                  <c:v>51.5</c:v>
                </c:pt>
                <c:pt idx="364">
                  <c:v>51.7</c:v>
                </c:pt>
                <c:pt idx="365">
                  <c:v>51.7</c:v>
                </c:pt>
                <c:pt idx="366">
                  <c:v>52.1</c:v>
                </c:pt>
                <c:pt idx="367">
                  <c:v>52.3</c:v>
                </c:pt>
                <c:pt idx="368">
                  <c:v>52.4</c:v>
                </c:pt>
                <c:pt idx="369">
                  <c:v>54.2</c:v>
                </c:pt>
                <c:pt idx="370">
                  <c:v>54.8</c:v>
                </c:pt>
                <c:pt idx="371">
                  <c:v>55</c:v>
                </c:pt>
                <c:pt idx="372">
                  <c:v>56.7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6-46D3-936D-B979C6EBC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58751"/>
        <c:axId val="1014263071"/>
      </c:scatterChart>
      <c:valAx>
        <c:axId val="101425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N° de Observación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63071"/>
        <c:crosses val="autoZero"/>
        <c:crossBetween val="midCat"/>
      </c:valAx>
      <c:valAx>
        <c:axId val="1014263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</a:t>
                </a:r>
                <a:r>
                  <a:rPr lang="en-US" baseline="0"/>
                  <a:t> de LPC [cm]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5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Distribucion</a:t>
            </a:r>
            <a:r>
              <a:rPr lang="en-US" baseline="0"/>
              <a:t> de Frecuencias Observadas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'K-S con Precaudal'!$H$19:$H$41</c:f>
              <c:numCache>
                <c:formatCode>General</c:formatCode>
                <c:ptCount val="23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14</c:v>
                </c:pt>
                <c:pt idx="6">
                  <c:v>41</c:v>
                </c:pt>
                <c:pt idx="7">
                  <c:v>30</c:v>
                </c:pt>
                <c:pt idx="8">
                  <c:v>28</c:v>
                </c:pt>
                <c:pt idx="9">
                  <c:v>59</c:v>
                </c:pt>
                <c:pt idx="10">
                  <c:v>139</c:v>
                </c:pt>
                <c:pt idx="11">
                  <c:v>108</c:v>
                </c:pt>
                <c:pt idx="12">
                  <c:v>60</c:v>
                </c:pt>
                <c:pt idx="13">
                  <c:v>29</c:v>
                </c:pt>
                <c:pt idx="14">
                  <c:v>23</c:v>
                </c:pt>
                <c:pt idx="15">
                  <c:v>14</c:v>
                </c:pt>
                <c:pt idx="16">
                  <c:v>12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4-40FD-ADE6-0C1EEE15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549632"/>
        <c:axId val="1573570272"/>
      </c:barChart>
      <c:catAx>
        <c:axId val="157354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Clase de Tallas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0272"/>
        <c:crosses val="autoZero"/>
        <c:auto val="1"/>
        <c:lblAlgn val="ctr"/>
        <c:lblOffset val="100"/>
        <c:noMultiLvlLbl val="0"/>
      </c:catAx>
      <c:valAx>
        <c:axId val="15735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Frecuencia Observada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Machos!$H$5:$H$381</c:f>
              <c:numCache>
                <c:formatCode>General</c:formatCode>
                <c:ptCount val="377"/>
                <c:pt idx="0">
                  <c:v>15.2</c:v>
                </c:pt>
                <c:pt idx="1">
                  <c:v>15.7</c:v>
                </c:pt>
                <c:pt idx="2">
                  <c:v>16.100000000000001</c:v>
                </c:pt>
                <c:pt idx="3">
                  <c:v>23</c:v>
                </c:pt>
                <c:pt idx="4">
                  <c:v>40</c:v>
                </c:pt>
                <c:pt idx="5">
                  <c:v>41.6</c:v>
                </c:pt>
                <c:pt idx="6">
                  <c:v>36.799999999999997</c:v>
                </c:pt>
                <c:pt idx="7">
                  <c:v>44.7</c:v>
                </c:pt>
                <c:pt idx="8">
                  <c:v>41.9</c:v>
                </c:pt>
                <c:pt idx="9">
                  <c:v>35</c:v>
                </c:pt>
                <c:pt idx="10">
                  <c:v>44.5</c:v>
                </c:pt>
                <c:pt idx="11">
                  <c:v>45.3</c:v>
                </c:pt>
                <c:pt idx="12">
                  <c:v>45.1</c:v>
                </c:pt>
                <c:pt idx="13">
                  <c:v>45.9</c:v>
                </c:pt>
                <c:pt idx="14">
                  <c:v>43.7</c:v>
                </c:pt>
                <c:pt idx="15">
                  <c:v>36.9</c:v>
                </c:pt>
                <c:pt idx="16">
                  <c:v>44.6</c:v>
                </c:pt>
                <c:pt idx="17">
                  <c:v>51</c:v>
                </c:pt>
                <c:pt idx="18">
                  <c:v>43.5</c:v>
                </c:pt>
                <c:pt idx="19">
                  <c:v>46.5</c:v>
                </c:pt>
                <c:pt idx="20">
                  <c:v>48.5</c:v>
                </c:pt>
                <c:pt idx="21">
                  <c:v>47.7</c:v>
                </c:pt>
                <c:pt idx="22">
                  <c:v>46</c:v>
                </c:pt>
                <c:pt idx="23">
                  <c:v>46.2</c:v>
                </c:pt>
                <c:pt idx="24">
                  <c:v>47.7</c:v>
                </c:pt>
                <c:pt idx="25">
                  <c:v>42.7</c:v>
                </c:pt>
                <c:pt idx="26">
                  <c:v>42.8</c:v>
                </c:pt>
                <c:pt idx="27">
                  <c:v>44.2</c:v>
                </c:pt>
                <c:pt idx="28">
                  <c:v>49.9</c:v>
                </c:pt>
                <c:pt idx="29">
                  <c:v>46.5</c:v>
                </c:pt>
                <c:pt idx="30">
                  <c:v>48.8</c:v>
                </c:pt>
                <c:pt idx="31">
                  <c:v>49.8</c:v>
                </c:pt>
                <c:pt idx="32">
                  <c:v>47.9</c:v>
                </c:pt>
                <c:pt idx="33">
                  <c:v>49.4</c:v>
                </c:pt>
                <c:pt idx="34">
                  <c:v>43.1</c:v>
                </c:pt>
                <c:pt idx="35">
                  <c:v>47.2</c:v>
                </c:pt>
                <c:pt idx="36">
                  <c:v>47.9</c:v>
                </c:pt>
                <c:pt idx="37">
                  <c:v>49.1</c:v>
                </c:pt>
                <c:pt idx="38">
                  <c:v>45.6</c:v>
                </c:pt>
                <c:pt idx="39">
                  <c:v>48.7</c:v>
                </c:pt>
                <c:pt idx="40">
                  <c:v>49.9</c:v>
                </c:pt>
                <c:pt idx="41">
                  <c:v>51.1</c:v>
                </c:pt>
                <c:pt idx="42">
                  <c:v>49.2</c:v>
                </c:pt>
                <c:pt idx="43">
                  <c:v>52.9</c:v>
                </c:pt>
                <c:pt idx="44">
                  <c:v>51</c:v>
                </c:pt>
                <c:pt idx="45">
                  <c:v>52</c:v>
                </c:pt>
                <c:pt idx="46">
                  <c:v>53.1</c:v>
                </c:pt>
                <c:pt idx="47">
                  <c:v>52.2</c:v>
                </c:pt>
                <c:pt idx="48">
                  <c:v>49.4</c:v>
                </c:pt>
                <c:pt idx="49">
                  <c:v>51.5</c:v>
                </c:pt>
                <c:pt idx="50">
                  <c:v>51.9</c:v>
                </c:pt>
                <c:pt idx="51">
                  <c:v>53.3</c:v>
                </c:pt>
                <c:pt idx="52">
                  <c:v>47</c:v>
                </c:pt>
                <c:pt idx="53">
                  <c:v>49.4</c:v>
                </c:pt>
                <c:pt idx="54">
                  <c:v>52.5</c:v>
                </c:pt>
                <c:pt idx="55">
                  <c:v>51.1</c:v>
                </c:pt>
                <c:pt idx="56">
                  <c:v>52.5</c:v>
                </c:pt>
                <c:pt idx="57">
                  <c:v>49.8</c:v>
                </c:pt>
                <c:pt idx="58">
                  <c:v>57.3</c:v>
                </c:pt>
                <c:pt idx="59">
                  <c:v>56.9</c:v>
                </c:pt>
                <c:pt idx="60">
                  <c:v>55.2</c:v>
                </c:pt>
                <c:pt idx="61">
                  <c:v>51.9</c:v>
                </c:pt>
                <c:pt idx="62">
                  <c:v>57.2</c:v>
                </c:pt>
                <c:pt idx="63">
                  <c:v>58</c:v>
                </c:pt>
                <c:pt idx="64">
                  <c:v>53.2</c:v>
                </c:pt>
                <c:pt idx="65">
                  <c:v>53.8</c:v>
                </c:pt>
                <c:pt idx="66">
                  <c:v>58.5</c:v>
                </c:pt>
                <c:pt idx="67">
                  <c:v>58.3</c:v>
                </c:pt>
                <c:pt idx="68">
                  <c:v>56.6</c:v>
                </c:pt>
                <c:pt idx="69">
                  <c:v>57.5</c:v>
                </c:pt>
                <c:pt idx="70">
                  <c:v>60</c:v>
                </c:pt>
                <c:pt idx="71">
                  <c:v>63</c:v>
                </c:pt>
                <c:pt idx="72">
                  <c:v>65</c:v>
                </c:pt>
                <c:pt idx="73">
                  <c:v>47.3</c:v>
                </c:pt>
                <c:pt idx="74">
                  <c:v>58.9</c:v>
                </c:pt>
                <c:pt idx="75">
                  <c:v>59.5</c:v>
                </c:pt>
                <c:pt idx="76">
                  <c:v>60</c:v>
                </c:pt>
                <c:pt idx="77">
                  <c:v>59.5</c:v>
                </c:pt>
                <c:pt idx="78">
                  <c:v>61</c:v>
                </c:pt>
                <c:pt idx="79">
                  <c:v>59.5</c:v>
                </c:pt>
                <c:pt idx="80">
                  <c:v>59</c:v>
                </c:pt>
                <c:pt idx="81">
                  <c:v>49.1</c:v>
                </c:pt>
                <c:pt idx="82">
                  <c:v>61.5</c:v>
                </c:pt>
                <c:pt idx="83">
                  <c:v>56</c:v>
                </c:pt>
                <c:pt idx="84">
                  <c:v>56.3</c:v>
                </c:pt>
                <c:pt idx="85">
                  <c:v>59.4</c:v>
                </c:pt>
                <c:pt idx="86">
                  <c:v>54.3</c:v>
                </c:pt>
                <c:pt idx="87">
                  <c:v>62</c:v>
                </c:pt>
                <c:pt idx="88">
                  <c:v>62.9</c:v>
                </c:pt>
                <c:pt idx="89">
                  <c:v>62.7</c:v>
                </c:pt>
                <c:pt idx="90">
                  <c:v>64.8</c:v>
                </c:pt>
                <c:pt idx="91">
                  <c:v>57.6</c:v>
                </c:pt>
                <c:pt idx="92">
                  <c:v>66</c:v>
                </c:pt>
                <c:pt idx="93">
                  <c:v>57.3</c:v>
                </c:pt>
                <c:pt idx="94">
                  <c:v>61.8</c:v>
                </c:pt>
                <c:pt idx="95">
                  <c:v>62.1</c:v>
                </c:pt>
                <c:pt idx="96">
                  <c:v>66.099999999999994</c:v>
                </c:pt>
                <c:pt idx="97">
                  <c:v>61.4</c:v>
                </c:pt>
                <c:pt idx="98">
                  <c:v>62.1</c:v>
                </c:pt>
                <c:pt idx="99">
                  <c:v>63.1</c:v>
                </c:pt>
                <c:pt idx="100">
                  <c:v>65.2</c:v>
                </c:pt>
                <c:pt idx="101">
                  <c:v>60.7</c:v>
                </c:pt>
                <c:pt idx="102">
                  <c:v>63</c:v>
                </c:pt>
                <c:pt idx="103">
                  <c:v>67</c:v>
                </c:pt>
                <c:pt idx="104">
                  <c:v>60.2</c:v>
                </c:pt>
                <c:pt idx="105">
                  <c:v>61</c:v>
                </c:pt>
                <c:pt idx="106">
                  <c:v>62</c:v>
                </c:pt>
                <c:pt idx="107">
                  <c:v>52.3</c:v>
                </c:pt>
                <c:pt idx="108">
                  <c:v>54.5</c:v>
                </c:pt>
                <c:pt idx="109">
                  <c:v>61.5</c:v>
                </c:pt>
                <c:pt idx="110">
                  <c:v>62.2</c:v>
                </c:pt>
                <c:pt idx="111">
                  <c:v>67.599999999999994</c:v>
                </c:pt>
                <c:pt idx="112">
                  <c:v>53.9</c:v>
                </c:pt>
                <c:pt idx="113">
                  <c:v>61.1</c:v>
                </c:pt>
                <c:pt idx="114">
                  <c:v>62.3</c:v>
                </c:pt>
                <c:pt idx="115">
                  <c:v>62.5</c:v>
                </c:pt>
                <c:pt idx="116">
                  <c:v>63.4</c:v>
                </c:pt>
                <c:pt idx="117">
                  <c:v>66.599999999999994</c:v>
                </c:pt>
                <c:pt idx="118">
                  <c:v>67.599999999999994</c:v>
                </c:pt>
                <c:pt idx="119">
                  <c:v>68</c:v>
                </c:pt>
                <c:pt idx="120">
                  <c:v>65.900000000000006</c:v>
                </c:pt>
                <c:pt idx="121">
                  <c:v>62</c:v>
                </c:pt>
                <c:pt idx="122">
                  <c:v>61.5</c:v>
                </c:pt>
                <c:pt idx="123">
                  <c:v>60.5</c:v>
                </c:pt>
                <c:pt idx="124">
                  <c:v>59.1</c:v>
                </c:pt>
                <c:pt idx="125">
                  <c:v>61.4</c:v>
                </c:pt>
                <c:pt idx="126">
                  <c:v>66</c:v>
                </c:pt>
                <c:pt idx="127">
                  <c:v>66.5</c:v>
                </c:pt>
                <c:pt idx="128">
                  <c:v>54.3</c:v>
                </c:pt>
                <c:pt idx="129">
                  <c:v>55</c:v>
                </c:pt>
                <c:pt idx="130">
                  <c:v>62.4</c:v>
                </c:pt>
                <c:pt idx="131">
                  <c:v>63</c:v>
                </c:pt>
                <c:pt idx="132">
                  <c:v>64.8</c:v>
                </c:pt>
                <c:pt idx="133">
                  <c:v>66.8</c:v>
                </c:pt>
                <c:pt idx="134">
                  <c:v>60.2</c:v>
                </c:pt>
                <c:pt idx="135">
                  <c:v>63</c:v>
                </c:pt>
                <c:pt idx="136">
                  <c:v>64.2</c:v>
                </c:pt>
                <c:pt idx="137">
                  <c:v>66.3</c:v>
                </c:pt>
                <c:pt idx="138">
                  <c:v>66.599999999999994</c:v>
                </c:pt>
                <c:pt idx="139">
                  <c:v>65.5</c:v>
                </c:pt>
                <c:pt idx="140">
                  <c:v>64.8</c:v>
                </c:pt>
                <c:pt idx="141">
                  <c:v>68.8</c:v>
                </c:pt>
                <c:pt idx="142">
                  <c:v>66</c:v>
                </c:pt>
                <c:pt idx="143">
                  <c:v>64.5</c:v>
                </c:pt>
                <c:pt idx="144">
                  <c:v>64.599999999999994</c:v>
                </c:pt>
                <c:pt idx="145">
                  <c:v>67.7</c:v>
                </c:pt>
                <c:pt idx="146">
                  <c:v>66.900000000000006</c:v>
                </c:pt>
                <c:pt idx="147">
                  <c:v>70.099999999999994</c:v>
                </c:pt>
                <c:pt idx="148">
                  <c:v>60.8</c:v>
                </c:pt>
                <c:pt idx="149">
                  <c:v>61.2</c:v>
                </c:pt>
                <c:pt idx="150">
                  <c:v>63.4</c:v>
                </c:pt>
                <c:pt idx="151">
                  <c:v>66.400000000000006</c:v>
                </c:pt>
                <c:pt idx="152">
                  <c:v>54.3</c:v>
                </c:pt>
                <c:pt idx="153">
                  <c:v>64.5</c:v>
                </c:pt>
                <c:pt idx="154">
                  <c:v>65.400000000000006</c:v>
                </c:pt>
                <c:pt idx="155">
                  <c:v>65.900000000000006</c:v>
                </c:pt>
                <c:pt idx="156">
                  <c:v>66</c:v>
                </c:pt>
                <c:pt idx="157">
                  <c:v>66</c:v>
                </c:pt>
                <c:pt idx="158">
                  <c:v>66.7</c:v>
                </c:pt>
                <c:pt idx="159">
                  <c:v>69.400000000000006</c:v>
                </c:pt>
                <c:pt idx="160">
                  <c:v>69.900000000000006</c:v>
                </c:pt>
                <c:pt idx="161">
                  <c:v>53.5</c:v>
                </c:pt>
                <c:pt idx="162">
                  <c:v>63.4</c:v>
                </c:pt>
                <c:pt idx="163">
                  <c:v>64.8</c:v>
                </c:pt>
                <c:pt idx="164">
                  <c:v>67.599999999999994</c:v>
                </c:pt>
                <c:pt idx="165">
                  <c:v>58</c:v>
                </c:pt>
                <c:pt idx="166">
                  <c:v>66.2</c:v>
                </c:pt>
                <c:pt idx="167">
                  <c:v>69.2</c:v>
                </c:pt>
                <c:pt idx="168">
                  <c:v>69.2</c:v>
                </c:pt>
                <c:pt idx="169">
                  <c:v>62.5</c:v>
                </c:pt>
                <c:pt idx="170">
                  <c:v>64.3</c:v>
                </c:pt>
                <c:pt idx="171">
                  <c:v>65</c:v>
                </c:pt>
                <c:pt idx="172">
                  <c:v>65.3</c:v>
                </c:pt>
                <c:pt idx="173">
                  <c:v>66</c:v>
                </c:pt>
                <c:pt idx="174">
                  <c:v>66.8</c:v>
                </c:pt>
                <c:pt idx="175">
                  <c:v>67.8</c:v>
                </c:pt>
                <c:pt idx="176">
                  <c:v>66.3</c:v>
                </c:pt>
                <c:pt idx="177">
                  <c:v>51.5</c:v>
                </c:pt>
                <c:pt idx="178">
                  <c:v>58.7</c:v>
                </c:pt>
                <c:pt idx="179">
                  <c:v>66.900000000000006</c:v>
                </c:pt>
                <c:pt idx="180">
                  <c:v>66.099999999999994</c:v>
                </c:pt>
                <c:pt idx="181">
                  <c:v>59.8</c:v>
                </c:pt>
                <c:pt idx="182">
                  <c:v>66.3</c:v>
                </c:pt>
                <c:pt idx="183">
                  <c:v>67.3</c:v>
                </c:pt>
                <c:pt idx="184">
                  <c:v>61.5</c:v>
                </c:pt>
                <c:pt idx="185">
                  <c:v>61.5</c:v>
                </c:pt>
                <c:pt idx="186">
                  <c:v>62.4</c:v>
                </c:pt>
                <c:pt idx="187">
                  <c:v>64</c:v>
                </c:pt>
                <c:pt idx="188">
                  <c:v>64.5</c:v>
                </c:pt>
                <c:pt idx="189">
                  <c:v>67.3</c:v>
                </c:pt>
                <c:pt idx="190">
                  <c:v>68.2</c:v>
                </c:pt>
                <c:pt idx="191">
                  <c:v>68.5</c:v>
                </c:pt>
                <c:pt idx="192">
                  <c:v>69.400000000000006</c:v>
                </c:pt>
                <c:pt idx="193">
                  <c:v>70.2</c:v>
                </c:pt>
                <c:pt idx="194">
                  <c:v>69.7</c:v>
                </c:pt>
                <c:pt idx="195">
                  <c:v>66.599999999999994</c:v>
                </c:pt>
                <c:pt idx="196">
                  <c:v>68.5</c:v>
                </c:pt>
                <c:pt idx="197">
                  <c:v>54.1</c:v>
                </c:pt>
                <c:pt idx="198">
                  <c:v>65.400000000000006</c:v>
                </c:pt>
                <c:pt idx="199">
                  <c:v>74.599999999999994</c:v>
                </c:pt>
                <c:pt idx="200">
                  <c:v>66.5</c:v>
                </c:pt>
                <c:pt idx="201">
                  <c:v>67.099999999999994</c:v>
                </c:pt>
                <c:pt idx="202">
                  <c:v>61</c:v>
                </c:pt>
                <c:pt idx="203">
                  <c:v>63.2</c:v>
                </c:pt>
                <c:pt idx="204">
                  <c:v>68</c:v>
                </c:pt>
                <c:pt idx="205">
                  <c:v>69.5</c:v>
                </c:pt>
                <c:pt idx="206">
                  <c:v>57</c:v>
                </c:pt>
                <c:pt idx="207">
                  <c:v>62</c:v>
                </c:pt>
                <c:pt idx="208">
                  <c:v>65.3</c:v>
                </c:pt>
                <c:pt idx="209">
                  <c:v>66.5</c:v>
                </c:pt>
                <c:pt idx="210">
                  <c:v>66.599999999999994</c:v>
                </c:pt>
                <c:pt idx="211">
                  <c:v>67.3</c:v>
                </c:pt>
                <c:pt idx="212">
                  <c:v>69.7</c:v>
                </c:pt>
                <c:pt idx="213">
                  <c:v>72.7</c:v>
                </c:pt>
                <c:pt idx="214">
                  <c:v>59.6</c:v>
                </c:pt>
                <c:pt idx="215">
                  <c:v>64</c:v>
                </c:pt>
                <c:pt idx="216">
                  <c:v>66.2</c:v>
                </c:pt>
                <c:pt idx="217">
                  <c:v>59.5</c:v>
                </c:pt>
                <c:pt idx="218">
                  <c:v>63.4</c:v>
                </c:pt>
                <c:pt idx="219">
                  <c:v>66</c:v>
                </c:pt>
                <c:pt idx="220">
                  <c:v>67.3</c:v>
                </c:pt>
                <c:pt idx="221">
                  <c:v>67.900000000000006</c:v>
                </c:pt>
                <c:pt idx="222">
                  <c:v>68</c:v>
                </c:pt>
                <c:pt idx="223">
                  <c:v>68.099999999999994</c:v>
                </c:pt>
                <c:pt idx="224">
                  <c:v>69.099999999999994</c:v>
                </c:pt>
                <c:pt idx="225">
                  <c:v>69.099999999999994</c:v>
                </c:pt>
                <c:pt idx="226">
                  <c:v>60.6</c:v>
                </c:pt>
                <c:pt idx="227">
                  <c:v>63.7</c:v>
                </c:pt>
                <c:pt idx="228">
                  <c:v>64.099999999999994</c:v>
                </c:pt>
                <c:pt idx="229">
                  <c:v>65.7</c:v>
                </c:pt>
                <c:pt idx="230">
                  <c:v>66.5</c:v>
                </c:pt>
                <c:pt idx="231">
                  <c:v>66.599999999999994</c:v>
                </c:pt>
                <c:pt idx="232">
                  <c:v>66.7</c:v>
                </c:pt>
                <c:pt idx="233">
                  <c:v>66.7</c:v>
                </c:pt>
                <c:pt idx="234">
                  <c:v>67.099999999999994</c:v>
                </c:pt>
                <c:pt idx="235">
                  <c:v>67.8</c:v>
                </c:pt>
                <c:pt idx="236">
                  <c:v>65.5</c:v>
                </c:pt>
                <c:pt idx="237">
                  <c:v>67.400000000000006</c:v>
                </c:pt>
                <c:pt idx="238">
                  <c:v>67.599999999999994</c:v>
                </c:pt>
                <c:pt idx="239">
                  <c:v>68.5</c:v>
                </c:pt>
                <c:pt idx="240">
                  <c:v>69.8</c:v>
                </c:pt>
                <c:pt idx="241">
                  <c:v>65.2</c:v>
                </c:pt>
                <c:pt idx="242">
                  <c:v>68.900000000000006</c:v>
                </c:pt>
                <c:pt idx="243">
                  <c:v>54.4</c:v>
                </c:pt>
                <c:pt idx="244">
                  <c:v>62.2</c:v>
                </c:pt>
                <c:pt idx="245">
                  <c:v>63.6</c:v>
                </c:pt>
                <c:pt idx="246">
                  <c:v>66</c:v>
                </c:pt>
                <c:pt idx="247">
                  <c:v>67.3</c:v>
                </c:pt>
                <c:pt idx="248">
                  <c:v>67.8</c:v>
                </c:pt>
                <c:pt idx="249">
                  <c:v>68</c:v>
                </c:pt>
                <c:pt idx="250">
                  <c:v>68</c:v>
                </c:pt>
                <c:pt idx="251">
                  <c:v>70.2</c:v>
                </c:pt>
                <c:pt idx="252">
                  <c:v>65.599999999999994</c:v>
                </c:pt>
                <c:pt idx="253">
                  <c:v>66.8</c:v>
                </c:pt>
                <c:pt idx="254">
                  <c:v>68.5</c:v>
                </c:pt>
                <c:pt idx="255">
                  <c:v>70.3</c:v>
                </c:pt>
                <c:pt idx="256">
                  <c:v>59.8</c:v>
                </c:pt>
                <c:pt idx="257">
                  <c:v>65.2</c:v>
                </c:pt>
                <c:pt idx="258">
                  <c:v>65.400000000000006</c:v>
                </c:pt>
                <c:pt idx="259">
                  <c:v>68.599999999999994</c:v>
                </c:pt>
                <c:pt idx="260">
                  <c:v>69.5</c:v>
                </c:pt>
                <c:pt idx="261">
                  <c:v>70.599999999999994</c:v>
                </c:pt>
                <c:pt idx="262">
                  <c:v>72.3</c:v>
                </c:pt>
                <c:pt idx="263">
                  <c:v>72.3</c:v>
                </c:pt>
                <c:pt idx="264">
                  <c:v>60.9</c:v>
                </c:pt>
                <c:pt idx="265">
                  <c:v>61</c:v>
                </c:pt>
                <c:pt idx="266">
                  <c:v>61.9</c:v>
                </c:pt>
                <c:pt idx="267">
                  <c:v>62.9</c:v>
                </c:pt>
                <c:pt idx="268">
                  <c:v>67.5</c:v>
                </c:pt>
                <c:pt idx="269">
                  <c:v>70</c:v>
                </c:pt>
                <c:pt idx="270">
                  <c:v>72</c:v>
                </c:pt>
                <c:pt idx="271">
                  <c:v>73</c:v>
                </c:pt>
                <c:pt idx="272">
                  <c:v>64.599999999999994</c:v>
                </c:pt>
                <c:pt idx="273">
                  <c:v>66.599999999999994</c:v>
                </c:pt>
                <c:pt idx="274">
                  <c:v>67.7</c:v>
                </c:pt>
                <c:pt idx="275">
                  <c:v>71</c:v>
                </c:pt>
                <c:pt idx="276">
                  <c:v>71.8</c:v>
                </c:pt>
                <c:pt idx="277">
                  <c:v>72.400000000000006</c:v>
                </c:pt>
                <c:pt idx="278">
                  <c:v>62.6</c:v>
                </c:pt>
                <c:pt idx="279">
                  <c:v>65.400000000000006</c:v>
                </c:pt>
                <c:pt idx="280">
                  <c:v>67.099999999999994</c:v>
                </c:pt>
                <c:pt idx="281">
                  <c:v>71.2</c:v>
                </c:pt>
                <c:pt idx="282">
                  <c:v>62</c:v>
                </c:pt>
                <c:pt idx="283">
                  <c:v>64.099999999999994</c:v>
                </c:pt>
                <c:pt idx="284">
                  <c:v>70.5</c:v>
                </c:pt>
                <c:pt idx="285">
                  <c:v>63.8</c:v>
                </c:pt>
                <c:pt idx="286">
                  <c:v>64</c:v>
                </c:pt>
                <c:pt idx="287">
                  <c:v>67.5</c:v>
                </c:pt>
                <c:pt idx="288">
                  <c:v>71.099999999999994</c:v>
                </c:pt>
                <c:pt idx="289">
                  <c:v>71.3</c:v>
                </c:pt>
                <c:pt idx="290">
                  <c:v>72</c:v>
                </c:pt>
                <c:pt idx="291">
                  <c:v>72.5</c:v>
                </c:pt>
                <c:pt idx="292">
                  <c:v>74</c:v>
                </c:pt>
                <c:pt idx="293">
                  <c:v>66.599999999999994</c:v>
                </c:pt>
                <c:pt idx="294">
                  <c:v>67.3</c:v>
                </c:pt>
                <c:pt idx="295">
                  <c:v>70.7</c:v>
                </c:pt>
                <c:pt idx="296">
                  <c:v>71.5</c:v>
                </c:pt>
                <c:pt idx="297">
                  <c:v>76.7</c:v>
                </c:pt>
                <c:pt idx="298">
                  <c:v>67.400000000000006</c:v>
                </c:pt>
                <c:pt idx="299">
                  <c:v>70.8</c:v>
                </c:pt>
                <c:pt idx="300">
                  <c:v>64.2</c:v>
                </c:pt>
                <c:pt idx="301">
                  <c:v>66.5</c:v>
                </c:pt>
                <c:pt idx="302">
                  <c:v>68.8</c:v>
                </c:pt>
                <c:pt idx="303">
                  <c:v>74.099999999999994</c:v>
                </c:pt>
                <c:pt idx="304">
                  <c:v>67</c:v>
                </c:pt>
                <c:pt idx="305">
                  <c:v>67.5</c:v>
                </c:pt>
                <c:pt idx="306">
                  <c:v>76.5</c:v>
                </c:pt>
                <c:pt idx="307">
                  <c:v>68.099999999999994</c:v>
                </c:pt>
                <c:pt idx="308">
                  <c:v>70.2</c:v>
                </c:pt>
                <c:pt idx="309">
                  <c:v>73.599999999999994</c:v>
                </c:pt>
                <c:pt idx="310">
                  <c:v>69</c:v>
                </c:pt>
                <c:pt idx="311">
                  <c:v>72</c:v>
                </c:pt>
                <c:pt idx="312">
                  <c:v>72.3</c:v>
                </c:pt>
                <c:pt idx="313">
                  <c:v>71.8</c:v>
                </c:pt>
                <c:pt idx="314">
                  <c:v>72.7</c:v>
                </c:pt>
                <c:pt idx="315">
                  <c:v>73.5</c:v>
                </c:pt>
                <c:pt idx="316">
                  <c:v>63.7</c:v>
                </c:pt>
                <c:pt idx="317">
                  <c:v>67.8</c:v>
                </c:pt>
                <c:pt idx="318">
                  <c:v>70.7</c:v>
                </c:pt>
                <c:pt idx="319">
                  <c:v>71.2</c:v>
                </c:pt>
                <c:pt idx="320">
                  <c:v>73.099999999999994</c:v>
                </c:pt>
                <c:pt idx="321">
                  <c:v>76.599999999999994</c:v>
                </c:pt>
                <c:pt idx="322">
                  <c:v>63.2</c:v>
                </c:pt>
                <c:pt idx="323">
                  <c:v>73.3</c:v>
                </c:pt>
                <c:pt idx="324">
                  <c:v>74.5</c:v>
                </c:pt>
                <c:pt idx="325">
                  <c:v>63.4</c:v>
                </c:pt>
                <c:pt idx="326">
                  <c:v>74.400000000000006</c:v>
                </c:pt>
                <c:pt idx="327">
                  <c:v>67.5</c:v>
                </c:pt>
                <c:pt idx="328">
                  <c:v>72.2</c:v>
                </c:pt>
                <c:pt idx="329">
                  <c:v>65.5</c:v>
                </c:pt>
                <c:pt idx="330">
                  <c:v>68.8</c:v>
                </c:pt>
                <c:pt idx="331">
                  <c:v>74</c:v>
                </c:pt>
                <c:pt idx="332">
                  <c:v>68.2</c:v>
                </c:pt>
                <c:pt idx="333">
                  <c:v>76.3</c:v>
                </c:pt>
                <c:pt idx="334">
                  <c:v>74.599999999999994</c:v>
                </c:pt>
                <c:pt idx="335">
                  <c:v>70.5</c:v>
                </c:pt>
                <c:pt idx="336">
                  <c:v>73.599999999999994</c:v>
                </c:pt>
                <c:pt idx="337">
                  <c:v>69.400000000000006</c:v>
                </c:pt>
                <c:pt idx="338">
                  <c:v>73.400000000000006</c:v>
                </c:pt>
                <c:pt idx="339">
                  <c:v>60.1</c:v>
                </c:pt>
                <c:pt idx="340">
                  <c:v>72.099999999999994</c:v>
                </c:pt>
                <c:pt idx="341">
                  <c:v>59.7</c:v>
                </c:pt>
                <c:pt idx="342">
                  <c:v>57</c:v>
                </c:pt>
                <c:pt idx="343">
                  <c:v>72</c:v>
                </c:pt>
                <c:pt idx="344">
                  <c:v>70.400000000000006</c:v>
                </c:pt>
                <c:pt idx="345">
                  <c:v>70.2</c:v>
                </c:pt>
                <c:pt idx="346">
                  <c:v>70.7</c:v>
                </c:pt>
                <c:pt idx="347">
                  <c:v>72.900000000000006</c:v>
                </c:pt>
                <c:pt idx="348">
                  <c:v>61.5</c:v>
                </c:pt>
                <c:pt idx="349">
                  <c:v>72.7</c:v>
                </c:pt>
                <c:pt idx="350">
                  <c:v>73.3</c:v>
                </c:pt>
                <c:pt idx="351">
                  <c:v>73.900000000000006</c:v>
                </c:pt>
                <c:pt idx="352">
                  <c:v>74.900000000000006</c:v>
                </c:pt>
                <c:pt idx="353">
                  <c:v>77</c:v>
                </c:pt>
                <c:pt idx="354">
                  <c:v>68.8</c:v>
                </c:pt>
                <c:pt idx="355">
                  <c:v>71.3</c:v>
                </c:pt>
                <c:pt idx="356">
                  <c:v>74.8</c:v>
                </c:pt>
                <c:pt idx="357">
                  <c:v>71</c:v>
                </c:pt>
                <c:pt idx="358">
                  <c:v>77.3</c:v>
                </c:pt>
                <c:pt idx="359">
                  <c:v>71.900000000000006</c:v>
                </c:pt>
                <c:pt idx="360">
                  <c:v>76.099999999999994</c:v>
                </c:pt>
                <c:pt idx="361">
                  <c:v>76.8</c:v>
                </c:pt>
                <c:pt idx="362">
                  <c:v>73.400000000000006</c:v>
                </c:pt>
                <c:pt idx="363">
                  <c:v>76</c:v>
                </c:pt>
                <c:pt idx="364">
                  <c:v>78.599999999999994</c:v>
                </c:pt>
                <c:pt idx="365">
                  <c:v>80.3</c:v>
                </c:pt>
                <c:pt idx="366">
                  <c:v>68</c:v>
                </c:pt>
                <c:pt idx="367">
                  <c:v>77.400000000000006</c:v>
                </c:pt>
                <c:pt idx="368">
                  <c:v>78.2</c:v>
                </c:pt>
                <c:pt idx="369">
                  <c:v>80.5</c:v>
                </c:pt>
                <c:pt idx="370">
                  <c:v>72.400000000000006</c:v>
                </c:pt>
                <c:pt idx="371">
                  <c:v>81.5</c:v>
                </c:pt>
                <c:pt idx="372">
                  <c:v>78.2</c:v>
                </c:pt>
                <c:pt idx="373">
                  <c:v>69.8</c:v>
                </c:pt>
                <c:pt idx="374">
                  <c:v>72</c:v>
                </c:pt>
                <c:pt idx="375">
                  <c:v>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7-499B-AD65-7C99E6A7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152784"/>
        <c:axId val="241152304"/>
      </c:scatterChart>
      <c:valAx>
        <c:axId val="24115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52304"/>
        <c:crosses val="autoZero"/>
        <c:crossBetween val="midCat"/>
      </c:valAx>
      <c:valAx>
        <c:axId val="2411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5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LT Machos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8505791262387"/>
          <c:y val="0.17171296296296298"/>
          <c:w val="0.8466370560557519"/>
          <c:h val="0.6564432050160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23C-474B-A6CD-BDD359C24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Machos!$A$409:$A$418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Machos!$B$409:$B$418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25</c:v>
                </c:pt>
                <c:pt idx="5">
                  <c:v>39</c:v>
                </c:pt>
                <c:pt idx="6">
                  <c:v>54</c:v>
                </c:pt>
                <c:pt idx="7">
                  <c:v>145</c:v>
                </c:pt>
                <c:pt idx="8">
                  <c:v>87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C-474B-A6CD-BDD359C24A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814352944"/>
        <c:axId val="1814353904"/>
      </c:barChart>
      <c:catAx>
        <c:axId val="181435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 Total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53904"/>
        <c:crosses val="autoZero"/>
        <c:auto val="1"/>
        <c:lblAlgn val="ctr"/>
        <c:lblOffset val="100"/>
        <c:noMultiLvlLbl val="0"/>
      </c:catAx>
      <c:valAx>
        <c:axId val="1814353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</a:t>
                </a:r>
                <a:r>
                  <a:rPr lang="en-US" baseline="0"/>
                  <a:t> de Organismos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5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LPC Machos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37270341207348"/>
          <c:y val="5.0925925925925923E-2"/>
          <c:w val="0.83140507436570432"/>
          <c:h val="0.743873578302712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Machos!$D$409:$D$418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Machos!$E$409:$E$418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35</c:v>
                </c:pt>
                <c:pt idx="5">
                  <c:v>26</c:v>
                </c:pt>
                <c:pt idx="6">
                  <c:v>55</c:v>
                </c:pt>
                <c:pt idx="7">
                  <c:v>171</c:v>
                </c:pt>
                <c:pt idx="8">
                  <c:v>72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6-4087-A825-12649D0A89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966271279"/>
        <c:axId val="966273199"/>
      </c:barChart>
      <c:catAx>
        <c:axId val="96627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 Precaudal</a:t>
                </a:r>
                <a:r>
                  <a:rPr lang="en-US" baseline="0"/>
                  <a:t> [cm]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73199"/>
        <c:crosses val="autoZero"/>
        <c:auto val="1"/>
        <c:lblAlgn val="ctr"/>
        <c:lblOffset val="100"/>
        <c:noMultiLvlLbl val="0"/>
      </c:catAx>
      <c:valAx>
        <c:axId val="966273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</a:t>
                </a:r>
                <a:r>
                  <a:rPr lang="en-US" baseline="0"/>
                  <a:t> de Organismos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7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LT Hembras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1E1-4212-9091-8E46C6A766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Hembras!$A$231:$A$239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Hembras!$B$231:$B$239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13</c:v>
                </c:pt>
                <c:pt idx="3">
                  <c:v>19</c:v>
                </c:pt>
                <c:pt idx="4">
                  <c:v>31</c:v>
                </c:pt>
                <c:pt idx="5">
                  <c:v>60</c:v>
                </c:pt>
                <c:pt idx="6">
                  <c:v>46</c:v>
                </c:pt>
                <c:pt idx="7">
                  <c:v>24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1-4353-A448-D51A6E930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782903135"/>
        <c:axId val="1782901215"/>
      </c:barChart>
      <c:catAx>
        <c:axId val="178290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 Total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01215"/>
        <c:crosses val="autoZero"/>
        <c:auto val="1"/>
        <c:lblAlgn val="ctr"/>
        <c:lblOffset val="100"/>
        <c:noMultiLvlLbl val="0"/>
      </c:catAx>
      <c:valAx>
        <c:axId val="1782901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Observaciones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LPC Hembras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0FF-4DE9-8FF3-D6B20CE17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Hembras!$D$231:$D$239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Hembras!$E$231:$E$239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26</c:v>
                </c:pt>
                <c:pt idx="3">
                  <c:v>31</c:v>
                </c:pt>
                <c:pt idx="4">
                  <c:v>53</c:v>
                </c:pt>
                <c:pt idx="5">
                  <c:v>56</c:v>
                </c:pt>
                <c:pt idx="6">
                  <c:v>25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0-403B-AFA7-AD55D803E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843213839"/>
        <c:axId val="1843221999"/>
      </c:barChart>
      <c:catAx>
        <c:axId val="1843213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 PreCaudal</a:t>
                </a:r>
                <a:r>
                  <a:rPr lang="en-US" baseline="0"/>
                  <a:t> [cm]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21999"/>
        <c:crosses val="autoZero"/>
        <c:auto val="1"/>
        <c:lblAlgn val="ctr"/>
        <c:lblOffset val="100"/>
        <c:noMultiLvlLbl val="0"/>
      </c:catAx>
      <c:valAx>
        <c:axId val="184322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</a:t>
                </a:r>
                <a:r>
                  <a:rPr lang="en-US" baseline="0"/>
                  <a:t> de Observaciones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1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Hembras!$H$5:$H$204</c:f>
              <c:numCache>
                <c:formatCode>General</c:formatCode>
                <c:ptCount val="200"/>
                <c:pt idx="0">
                  <c:v>60.5</c:v>
                </c:pt>
                <c:pt idx="1">
                  <c:v>51</c:v>
                </c:pt>
                <c:pt idx="2">
                  <c:v>38.4</c:v>
                </c:pt>
                <c:pt idx="3">
                  <c:v>74.900000000000006</c:v>
                </c:pt>
                <c:pt idx="4">
                  <c:v>33.1</c:v>
                </c:pt>
                <c:pt idx="5">
                  <c:v>68</c:v>
                </c:pt>
                <c:pt idx="6">
                  <c:v>72</c:v>
                </c:pt>
                <c:pt idx="7">
                  <c:v>55</c:v>
                </c:pt>
                <c:pt idx="8">
                  <c:v>44.3</c:v>
                </c:pt>
                <c:pt idx="9">
                  <c:v>44</c:v>
                </c:pt>
                <c:pt idx="10">
                  <c:v>86</c:v>
                </c:pt>
                <c:pt idx="11">
                  <c:v>62</c:v>
                </c:pt>
                <c:pt idx="12">
                  <c:v>66.2</c:v>
                </c:pt>
                <c:pt idx="13">
                  <c:v>70.5</c:v>
                </c:pt>
                <c:pt idx="14">
                  <c:v>60</c:v>
                </c:pt>
                <c:pt idx="15">
                  <c:v>74.3</c:v>
                </c:pt>
                <c:pt idx="16">
                  <c:v>69.2</c:v>
                </c:pt>
                <c:pt idx="17">
                  <c:v>50</c:v>
                </c:pt>
                <c:pt idx="18">
                  <c:v>63</c:v>
                </c:pt>
                <c:pt idx="19">
                  <c:v>60.9</c:v>
                </c:pt>
                <c:pt idx="20">
                  <c:v>60</c:v>
                </c:pt>
                <c:pt idx="21">
                  <c:v>90.5</c:v>
                </c:pt>
                <c:pt idx="22">
                  <c:v>71.2</c:v>
                </c:pt>
                <c:pt idx="23">
                  <c:v>80.2</c:v>
                </c:pt>
                <c:pt idx="24">
                  <c:v>73.7</c:v>
                </c:pt>
                <c:pt idx="25">
                  <c:v>68.5</c:v>
                </c:pt>
                <c:pt idx="26">
                  <c:v>85.7</c:v>
                </c:pt>
                <c:pt idx="27">
                  <c:v>72</c:v>
                </c:pt>
                <c:pt idx="28">
                  <c:v>62.6</c:v>
                </c:pt>
                <c:pt idx="29">
                  <c:v>73.7</c:v>
                </c:pt>
                <c:pt idx="30">
                  <c:v>57.5</c:v>
                </c:pt>
                <c:pt idx="31">
                  <c:v>72</c:v>
                </c:pt>
                <c:pt idx="32">
                  <c:v>55.2</c:v>
                </c:pt>
                <c:pt idx="33">
                  <c:v>60</c:v>
                </c:pt>
                <c:pt idx="34">
                  <c:v>79.400000000000006</c:v>
                </c:pt>
                <c:pt idx="35">
                  <c:v>69.7</c:v>
                </c:pt>
                <c:pt idx="36">
                  <c:v>62.5</c:v>
                </c:pt>
                <c:pt idx="37">
                  <c:v>88</c:v>
                </c:pt>
                <c:pt idx="38">
                  <c:v>82</c:v>
                </c:pt>
                <c:pt idx="39">
                  <c:v>71.5</c:v>
                </c:pt>
                <c:pt idx="40">
                  <c:v>80.2</c:v>
                </c:pt>
                <c:pt idx="41">
                  <c:v>66</c:v>
                </c:pt>
                <c:pt idx="42">
                  <c:v>74.5</c:v>
                </c:pt>
                <c:pt idx="43">
                  <c:v>64.5</c:v>
                </c:pt>
                <c:pt idx="44">
                  <c:v>55.5</c:v>
                </c:pt>
                <c:pt idx="45">
                  <c:v>68</c:v>
                </c:pt>
                <c:pt idx="46">
                  <c:v>75.5</c:v>
                </c:pt>
                <c:pt idx="47">
                  <c:v>61.3</c:v>
                </c:pt>
                <c:pt idx="48">
                  <c:v>74.400000000000006</c:v>
                </c:pt>
                <c:pt idx="49">
                  <c:v>73</c:v>
                </c:pt>
                <c:pt idx="50">
                  <c:v>72</c:v>
                </c:pt>
                <c:pt idx="51">
                  <c:v>77</c:v>
                </c:pt>
                <c:pt idx="52">
                  <c:v>78.400000000000006</c:v>
                </c:pt>
                <c:pt idx="53">
                  <c:v>71.599999999999994</c:v>
                </c:pt>
                <c:pt idx="54">
                  <c:v>55.2</c:v>
                </c:pt>
                <c:pt idx="55">
                  <c:v>81.2</c:v>
                </c:pt>
                <c:pt idx="56">
                  <c:v>66.900000000000006</c:v>
                </c:pt>
                <c:pt idx="57">
                  <c:v>67.099999999999994</c:v>
                </c:pt>
                <c:pt idx="58">
                  <c:v>71.8</c:v>
                </c:pt>
                <c:pt idx="59">
                  <c:v>73.7</c:v>
                </c:pt>
                <c:pt idx="60">
                  <c:v>49.1</c:v>
                </c:pt>
                <c:pt idx="61">
                  <c:v>85.11</c:v>
                </c:pt>
                <c:pt idx="62">
                  <c:v>74.2</c:v>
                </c:pt>
                <c:pt idx="63">
                  <c:v>61.1</c:v>
                </c:pt>
                <c:pt idx="64">
                  <c:v>76.5</c:v>
                </c:pt>
                <c:pt idx="65">
                  <c:v>87.5</c:v>
                </c:pt>
                <c:pt idx="66">
                  <c:v>72.599999999999994</c:v>
                </c:pt>
                <c:pt idx="67">
                  <c:v>68.5</c:v>
                </c:pt>
                <c:pt idx="68">
                  <c:v>87.5</c:v>
                </c:pt>
                <c:pt idx="69">
                  <c:v>86</c:v>
                </c:pt>
                <c:pt idx="70">
                  <c:v>76.400000000000006</c:v>
                </c:pt>
                <c:pt idx="71">
                  <c:v>83.3</c:v>
                </c:pt>
                <c:pt idx="72">
                  <c:v>77</c:v>
                </c:pt>
                <c:pt idx="73">
                  <c:v>85.2</c:v>
                </c:pt>
                <c:pt idx="74">
                  <c:v>70.3</c:v>
                </c:pt>
                <c:pt idx="75">
                  <c:v>74</c:v>
                </c:pt>
                <c:pt idx="76">
                  <c:v>78</c:v>
                </c:pt>
                <c:pt idx="77">
                  <c:v>80.599999999999994</c:v>
                </c:pt>
                <c:pt idx="78">
                  <c:v>82.4</c:v>
                </c:pt>
                <c:pt idx="79">
                  <c:v>41.5</c:v>
                </c:pt>
                <c:pt idx="80">
                  <c:v>85.4</c:v>
                </c:pt>
                <c:pt idx="81">
                  <c:v>91.3</c:v>
                </c:pt>
                <c:pt idx="82">
                  <c:v>80.8</c:v>
                </c:pt>
                <c:pt idx="83">
                  <c:v>69.7</c:v>
                </c:pt>
                <c:pt idx="84">
                  <c:v>83.3</c:v>
                </c:pt>
                <c:pt idx="85">
                  <c:v>64.3</c:v>
                </c:pt>
                <c:pt idx="86">
                  <c:v>51.4</c:v>
                </c:pt>
                <c:pt idx="87">
                  <c:v>71.400000000000006</c:v>
                </c:pt>
                <c:pt idx="88">
                  <c:v>85.4</c:v>
                </c:pt>
                <c:pt idx="89">
                  <c:v>68.599999999999994</c:v>
                </c:pt>
                <c:pt idx="90">
                  <c:v>93.6</c:v>
                </c:pt>
                <c:pt idx="91">
                  <c:v>74</c:v>
                </c:pt>
                <c:pt idx="92">
                  <c:v>90</c:v>
                </c:pt>
                <c:pt idx="93">
                  <c:v>85.7</c:v>
                </c:pt>
                <c:pt idx="94">
                  <c:v>93.6</c:v>
                </c:pt>
                <c:pt idx="95">
                  <c:v>80.7</c:v>
                </c:pt>
                <c:pt idx="96">
                  <c:v>82.4</c:v>
                </c:pt>
                <c:pt idx="97">
                  <c:v>73</c:v>
                </c:pt>
                <c:pt idx="98">
                  <c:v>86.9</c:v>
                </c:pt>
                <c:pt idx="99">
                  <c:v>74.599999999999994</c:v>
                </c:pt>
                <c:pt idx="100">
                  <c:v>80.8</c:v>
                </c:pt>
                <c:pt idx="101">
                  <c:v>76.599999999999994</c:v>
                </c:pt>
                <c:pt idx="102">
                  <c:v>62.3</c:v>
                </c:pt>
                <c:pt idx="103">
                  <c:v>97</c:v>
                </c:pt>
                <c:pt idx="104">
                  <c:v>76.599999999999994</c:v>
                </c:pt>
                <c:pt idx="105">
                  <c:v>76</c:v>
                </c:pt>
                <c:pt idx="106">
                  <c:v>57</c:v>
                </c:pt>
                <c:pt idx="107">
                  <c:v>65</c:v>
                </c:pt>
                <c:pt idx="108">
                  <c:v>47.3</c:v>
                </c:pt>
                <c:pt idx="109">
                  <c:v>46.6</c:v>
                </c:pt>
                <c:pt idx="110">
                  <c:v>58.8</c:v>
                </c:pt>
                <c:pt idx="111">
                  <c:v>73.099999999999994</c:v>
                </c:pt>
                <c:pt idx="112">
                  <c:v>47.3</c:v>
                </c:pt>
                <c:pt idx="113">
                  <c:v>46</c:v>
                </c:pt>
                <c:pt idx="114">
                  <c:v>65.7</c:v>
                </c:pt>
                <c:pt idx="115">
                  <c:v>77.900000000000006</c:v>
                </c:pt>
                <c:pt idx="116">
                  <c:v>42.4</c:v>
                </c:pt>
                <c:pt idx="117">
                  <c:v>48.6</c:v>
                </c:pt>
                <c:pt idx="118">
                  <c:v>49.1</c:v>
                </c:pt>
                <c:pt idx="119">
                  <c:v>48.9</c:v>
                </c:pt>
                <c:pt idx="120">
                  <c:v>43.3</c:v>
                </c:pt>
                <c:pt idx="121">
                  <c:v>91.8</c:v>
                </c:pt>
                <c:pt idx="122">
                  <c:v>60.6</c:v>
                </c:pt>
                <c:pt idx="123">
                  <c:v>88.4</c:v>
                </c:pt>
                <c:pt idx="124">
                  <c:v>75.599999999999994</c:v>
                </c:pt>
                <c:pt idx="125">
                  <c:v>71.099999999999994</c:v>
                </c:pt>
                <c:pt idx="126">
                  <c:v>36.1</c:v>
                </c:pt>
                <c:pt idx="127">
                  <c:v>43</c:v>
                </c:pt>
                <c:pt idx="128">
                  <c:v>41.5</c:v>
                </c:pt>
                <c:pt idx="129">
                  <c:v>58.2</c:v>
                </c:pt>
                <c:pt idx="130">
                  <c:v>41.9</c:v>
                </c:pt>
                <c:pt idx="131">
                  <c:v>44.6</c:v>
                </c:pt>
                <c:pt idx="132">
                  <c:v>89.7</c:v>
                </c:pt>
                <c:pt idx="133">
                  <c:v>78.8</c:v>
                </c:pt>
                <c:pt idx="134">
                  <c:v>90.3</c:v>
                </c:pt>
                <c:pt idx="135">
                  <c:v>84.5</c:v>
                </c:pt>
                <c:pt idx="136">
                  <c:v>62.1</c:v>
                </c:pt>
                <c:pt idx="137">
                  <c:v>34.6</c:v>
                </c:pt>
                <c:pt idx="138">
                  <c:v>92.1</c:v>
                </c:pt>
                <c:pt idx="139">
                  <c:v>66.2</c:v>
                </c:pt>
                <c:pt idx="140">
                  <c:v>53.1</c:v>
                </c:pt>
                <c:pt idx="141">
                  <c:v>73.2</c:v>
                </c:pt>
                <c:pt idx="142">
                  <c:v>46</c:v>
                </c:pt>
                <c:pt idx="143">
                  <c:v>67.5</c:v>
                </c:pt>
                <c:pt idx="144">
                  <c:v>50.3</c:v>
                </c:pt>
                <c:pt idx="145">
                  <c:v>72.2</c:v>
                </c:pt>
                <c:pt idx="146">
                  <c:v>69.3</c:v>
                </c:pt>
                <c:pt idx="147">
                  <c:v>66.099999999999994</c:v>
                </c:pt>
                <c:pt idx="148">
                  <c:v>13.2</c:v>
                </c:pt>
                <c:pt idx="149">
                  <c:v>78</c:v>
                </c:pt>
                <c:pt idx="150">
                  <c:v>15.8</c:v>
                </c:pt>
                <c:pt idx="151">
                  <c:v>15.9</c:v>
                </c:pt>
                <c:pt idx="152">
                  <c:v>84.4</c:v>
                </c:pt>
                <c:pt idx="153">
                  <c:v>92.5</c:v>
                </c:pt>
                <c:pt idx="154">
                  <c:v>71.7</c:v>
                </c:pt>
                <c:pt idx="155">
                  <c:v>89.3</c:v>
                </c:pt>
                <c:pt idx="156">
                  <c:v>85.5</c:v>
                </c:pt>
                <c:pt idx="157">
                  <c:v>82.7</c:v>
                </c:pt>
                <c:pt idx="158">
                  <c:v>73.400000000000006</c:v>
                </c:pt>
                <c:pt idx="159">
                  <c:v>62.2</c:v>
                </c:pt>
                <c:pt idx="160">
                  <c:v>69.8</c:v>
                </c:pt>
                <c:pt idx="161">
                  <c:v>83</c:v>
                </c:pt>
                <c:pt idx="162">
                  <c:v>74.099999999999994</c:v>
                </c:pt>
                <c:pt idx="163">
                  <c:v>15</c:v>
                </c:pt>
                <c:pt idx="164">
                  <c:v>93</c:v>
                </c:pt>
                <c:pt idx="165">
                  <c:v>79</c:v>
                </c:pt>
                <c:pt idx="166">
                  <c:v>93.7</c:v>
                </c:pt>
                <c:pt idx="167">
                  <c:v>87.2</c:v>
                </c:pt>
                <c:pt idx="168">
                  <c:v>88.4</c:v>
                </c:pt>
                <c:pt idx="169">
                  <c:v>42.3</c:v>
                </c:pt>
                <c:pt idx="170">
                  <c:v>61.8</c:v>
                </c:pt>
                <c:pt idx="171">
                  <c:v>71.5</c:v>
                </c:pt>
                <c:pt idx="172">
                  <c:v>82.9</c:v>
                </c:pt>
                <c:pt idx="173">
                  <c:v>87.4</c:v>
                </c:pt>
                <c:pt idx="174">
                  <c:v>75.900000000000006</c:v>
                </c:pt>
                <c:pt idx="175">
                  <c:v>82.6</c:v>
                </c:pt>
                <c:pt idx="176">
                  <c:v>86.2</c:v>
                </c:pt>
                <c:pt idx="177">
                  <c:v>73.400000000000006</c:v>
                </c:pt>
                <c:pt idx="178">
                  <c:v>74.5</c:v>
                </c:pt>
                <c:pt idx="179">
                  <c:v>59</c:v>
                </c:pt>
                <c:pt idx="180">
                  <c:v>108.3</c:v>
                </c:pt>
                <c:pt idx="181">
                  <c:v>59.5</c:v>
                </c:pt>
                <c:pt idx="182">
                  <c:v>45</c:v>
                </c:pt>
                <c:pt idx="183">
                  <c:v>75.8</c:v>
                </c:pt>
                <c:pt idx="184">
                  <c:v>79.900000000000006</c:v>
                </c:pt>
                <c:pt idx="185">
                  <c:v>65.400000000000006</c:v>
                </c:pt>
                <c:pt idx="186">
                  <c:v>82.4</c:v>
                </c:pt>
                <c:pt idx="187">
                  <c:v>85.9</c:v>
                </c:pt>
                <c:pt idx="188">
                  <c:v>88.3</c:v>
                </c:pt>
                <c:pt idx="189">
                  <c:v>90.2</c:v>
                </c:pt>
                <c:pt idx="190">
                  <c:v>69.599999999999994</c:v>
                </c:pt>
                <c:pt idx="191">
                  <c:v>78.900000000000006</c:v>
                </c:pt>
                <c:pt idx="192">
                  <c:v>85.1</c:v>
                </c:pt>
                <c:pt idx="193">
                  <c:v>88</c:v>
                </c:pt>
                <c:pt idx="194">
                  <c:v>84.5</c:v>
                </c:pt>
                <c:pt idx="195">
                  <c:v>69.5</c:v>
                </c:pt>
                <c:pt idx="196">
                  <c:v>64</c:v>
                </c:pt>
                <c:pt idx="197">
                  <c:v>53.8</c:v>
                </c:pt>
                <c:pt idx="198">
                  <c:v>61.8</c:v>
                </c:pt>
                <c:pt idx="199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D-403F-A1B8-1ECE1B062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46560"/>
        <c:axId val="1217145120"/>
      </c:scatterChart>
      <c:valAx>
        <c:axId val="12171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45120"/>
        <c:crosses val="autoZero"/>
        <c:crossBetween val="midCat"/>
      </c:valAx>
      <c:valAx>
        <c:axId val="12171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4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Hembras!$I$5:$I$204</c:f>
              <c:numCache>
                <c:formatCode>General</c:formatCode>
                <c:ptCount val="200"/>
                <c:pt idx="0">
                  <c:v>45</c:v>
                </c:pt>
                <c:pt idx="1">
                  <c:v>33</c:v>
                </c:pt>
                <c:pt idx="2">
                  <c:v>26.35</c:v>
                </c:pt>
                <c:pt idx="3">
                  <c:v>58.6</c:v>
                </c:pt>
                <c:pt idx="4">
                  <c:v>23.3</c:v>
                </c:pt>
                <c:pt idx="5">
                  <c:v>47</c:v>
                </c:pt>
                <c:pt idx="6">
                  <c:v>58</c:v>
                </c:pt>
                <c:pt idx="7">
                  <c:v>38.5</c:v>
                </c:pt>
                <c:pt idx="8">
                  <c:v>29</c:v>
                </c:pt>
                <c:pt idx="9">
                  <c:v>29</c:v>
                </c:pt>
                <c:pt idx="10">
                  <c:v>55.5</c:v>
                </c:pt>
                <c:pt idx="11">
                  <c:v>41.5</c:v>
                </c:pt>
                <c:pt idx="12">
                  <c:v>47.3</c:v>
                </c:pt>
                <c:pt idx="13">
                  <c:v>36</c:v>
                </c:pt>
                <c:pt idx="14">
                  <c:v>43</c:v>
                </c:pt>
                <c:pt idx="15">
                  <c:v>35.200000000000003</c:v>
                </c:pt>
                <c:pt idx="16">
                  <c:v>46.3</c:v>
                </c:pt>
                <c:pt idx="17">
                  <c:v>33.4</c:v>
                </c:pt>
                <c:pt idx="18">
                  <c:v>45</c:v>
                </c:pt>
                <c:pt idx="19">
                  <c:v>39.4</c:v>
                </c:pt>
                <c:pt idx="20">
                  <c:v>39.5</c:v>
                </c:pt>
                <c:pt idx="21">
                  <c:v>61.2</c:v>
                </c:pt>
                <c:pt idx="22">
                  <c:v>46.1</c:v>
                </c:pt>
                <c:pt idx="23">
                  <c:v>53</c:v>
                </c:pt>
                <c:pt idx="24">
                  <c:v>45.6</c:v>
                </c:pt>
                <c:pt idx="25">
                  <c:v>44.3</c:v>
                </c:pt>
                <c:pt idx="26">
                  <c:v>62.5</c:v>
                </c:pt>
                <c:pt idx="27">
                  <c:v>52.3</c:v>
                </c:pt>
                <c:pt idx="28">
                  <c:v>38.5</c:v>
                </c:pt>
                <c:pt idx="29">
                  <c:v>51.8</c:v>
                </c:pt>
                <c:pt idx="30">
                  <c:v>42</c:v>
                </c:pt>
                <c:pt idx="31">
                  <c:v>49</c:v>
                </c:pt>
                <c:pt idx="32">
                  <c:v>35.4</c:v>
                </c:pt>
                <c:pt idx="33">
                  <c:v>39</c:v>
                </c:pt>
                <c:pt idx="34">
                  <c:v>50.6</c:v>
                </c:pt>
                <c:pt idx="35">
                  <c:v>51</c:v>
                </c:pt>
                <c:pt idx="36">
                  <c:v>45</c:v>
                </c:pt>
                <c:pt idx="37">
                  <c:v>63.5</c:v>
                </c:pt>
                <c:pt idx="38">
                  <c:v>58</c:v>
                </c:pt>
                <c:pt idx="39">
                  <c:v>58</c:v>
                </c:pt>
                <c:pt idx="40">
                  <c:v>54</c:v>
                </c:pt>
                <c:pt idx="41">
                  <c:v>43.8</c:v>
                </c:pt>
                <c:pt idx="42">
                  <c:v>50.5</c:v>
                </c:pt>
                <c:pt idx="43">
                  <c:v>40.799999999999997</c:v>
                </c:pt>
                <c:pt idx="44">
                  <c:v>32.6</c:v>
                </c:pt>
                <c:pt idx="45">
                  <c:v>43.6</c:v>
                </c:pt>
                <c:pt idx="46">
                  <c:v>49.8</c:v>
                </c:pt>
                <c:pt idx="47">
                  <c:v>39.700000000000003</c:v>
                </c:pt>
                <c:pt idx="48">
                  <c:v>47.5</c:v>
                </c:pt>
                <c:pt idx="49">
                  <c:v>50.3</c:v>
                </c:pt>
                <c:pt idx="50">
                  <c:v>47</c:v>
                </c:pt>
                <c:pt idx="51">
                  <c:v>47.4</c:v>
                </c:pt>
                <c:pt idx="52">
                  <c:v>52.2</c:v>
                </c:pt>
                <c:pt idx="53">
                  <c:v>50.1</c:v>
                </c:pt>
                <c:pt idx="54">
                  <c:v>36.700000000000003</c:v>
                </c:pt>
                <c:pt idx="55">
                  <c:v>53.7</c:v>
                </c:pt>
                <c:pt idx="56">
                  <c:v>42.7</c:v>
                </c:pt>
                <c:pt idx="57">
                  <c:v>45.1</c:v>
                </c:pt>
                <c:pt idx="58">
                  <c:v>46</c:v>
                </c:pt>
                <c:pt idx="59">
                  <c:v>47.6</c:v>
                </c:pt>
                <c:pt idx="60">
                  <c:v>40.200000000000003</c:v>
                </c:pt>
                <c:pt idx="61">
                  <c:v>59.2</c:v>
                </c:pt>
                <c:pt idx="62">
                  <c:v>47.5</c:v>
                </c:pt>
                <c:pt idx="63">
                  <c:v>38.5</c:v>
                </c:pt>
                <c:pt idx="64">
                  <c:v>45.7</c:v>
                </c:pt>
                <c:pt idx="65">
                  <c:v>56.1</c:v>
                </c:pt>
                <c:pt idx="66">
                  <c:v>44.4</c:v>
                </c:pt>
                <c:pt idx="67">
                  <c:v>43.2</c:v>
                </c:pt>
                <c:pt idx="68">
                  <c:v>56.4</c:v>
                </c:pt>
                <c:pt idx="69">
                  <c:v>54.9</c:v>
                </c:pt>
                <c:pt idx="70">
                  <c:v>54.5</c:v>
                </c:pt>
                <c:pt idx="71">
                  <c:v>54.5</c:v>
                </c:pt>
                <c:pt idx="72">
                  <c:v>54.2</c:v>
                </c:pt>
                <c:pt idx="73">
                  <c:v>59.9</c:v>
                </c:pt>
                <c:pt idx="74">
                  <c:v>47.5</c:v>
                </c:pt>
                <c:pt idx="75">
                  <c:v>53</c:v>
                </c:pt>
                <c:pt idx="76">
                  <c:v>55</c:v>
                </c:pt>
                <c:pt idx="77">
                  <c:v>50.3</c:v>
                </c:pt>
                <c:pt idx="78">
                  <c:v>57.5</c:v>
                </c:pt>
                <c:pt idx="79">
                  <c:v>31.7</c:v>
                </c:pt>
                <c:pt idx="80">
                  <c:v>55.6</c:v>
                </c:pt>
                <c:pt idx="81">
                  <c:v>62.5</c:v>
                </c:pt>
                <c:pt idx="82">
                  <c:v>53.1</c:v>
                </c:pt>
                <c:pt idx="83">
                  <c:v>43.9</c:v>
                </c:pt>
                <c:pt idx="84">
                  <c:v>55.1</c:v>
                </c:pt>
                <c:pt idx="85">
                  <c:v>47.3</c:v>
                </c:pt>
                <c:pt idx="86">
                  <c:v>32.5</c:v>
                </c:pt>
                <c:pt idx="87">
                  <c:v>47.7</c:v>
                </c:pt>
                <c:pt idx="88">
                  <c:v>55.9</c:v>
                </c:pt>
                <c:pt idx="89">
                  <c:v>50</c:v>
                </c:pt>
                <c:pt idx="90">
                  <c:v>63.3</c:v>
                </c:pt>
                <c:pt idx="91">
                  <c:v>50.2</c:v>
                </c:pt>
                <c:pt idx="92">
                  <c:v>61.5</c:v>
                </c:pt>
                <c:pt idx="93">
                  <c:v>59.2</c:v>
                </c:pt>
                <c:pt idx="94">
                  <c:v>61.3</c:v>
                </c:pt>
                <c:pt idx="95">
                  <c:v>51.4</c:v>
                </c:pt>
                <c:pt idx="96">
                  <c:v>57.5</c:v>
                </c:pt>
                <c:pt idx="97">
                  <c:v>49.5</c:v>
                </c:pt>
                <c:pt idx="98">
                  <c:v>64.599999999999994</c:v>
                </c:pt>
                <c:pt idx="99">
                  <c:v>55.8</c:v>
                </c:pt>
                <c:pt idx="100">
                  <c:v>57.6</c:v>
                </c:pt>
                <c:pt idx="101">
                  <c:v>58.2</c:v>
                </c:pt>
                <c:pt idx="102">
                  <c:v>43</c:v>
                </c:pt>
                <c:pt idx="103">
                  <c:v>66.599999999999994</c:v>
                </c:pt>
                <c:pt idx="104">
                  <c:v>52.8</c:v>
                </c:pt>
                <c:pt idx="105">
                  <c:v>54.4</c:v>
                </c:pt>
                <c:pt idx="106">
                  <c:v>43.4</c:v>
                </c:pt>
                <c:pt idx="107">
                  <c:v>41.1</c:v>
                </c:pt>
                <c:pt idx="108">
                  <c:v>30.6</c:v>
                </c:pt>
                <c:pt idx="109">
                  <c:v>31.2</c:v>
                </c:pt>
                <c:pt idx="110">
                  <c:v>41.5</c:v>
                </c:pt>
                <c:pt idx="111">
                  <c:v>52.3</c:v>
                </c:pt>
                <c:pt idx="112">
                  <c:v>29.8</c:v>
                </c:pt>
                <c:pt idx="113">
                  <c:v>28</c:v>
                </c:pt>
                <c:pt idx="114">
                  <c:v>45.1</c:v>
                </c:pt>
                <c:pt idx="115">
                  <c:v>52.8</c:v>
                </c:pt>
                <c:pt idx="116">
                  <c:v>28.2</c:v>
                </c:pt>
                <c:pt idx="117">
                  <c:v>31.4</c:v>
                </c:pt>
                <c:pt idx="118">
                  <c:v>31.5</c:v>
                </c:pt>
                <c:pt idx="119">
                  <c:v>34.9</c:v>
                </c:pt>
                <c:pt idx="120">
                  <c:v>29.3</c:v>
                </c:pt>
                <c:pt idx="121">
                  <c:v>62.9</c:v>
                </c:pt>
                <c:pt idx="122">
                  <c:v>49.1</c:v>
                </c:pt>
                <c:pt idx="123">
                  <c:v>66.5</c:v>
                </c:pt>
                <c:pt idx="124">
                  <c:v>56.7</c:v>
                </c:pt>
                <c:pt idx="125">
                  <c:v>49.9</c:v>
                </c:pt>
                <c:pt idx="126">
                  <c:v>27.9</c:v>
                </c:pt>
                <c:pt idx="127">
                  <c:v>31.6</c:v>
                </c:pt>
                <c:pt idx="128">
                  <c:v>30.6</c:v>
                </c:pt>
                <c:pt idx="129">
                  <c:v>37.9</c:v>
                </c:pt>
                <c:pt idx="130">
                  <c:v>29.1</c:v>
                </c:pt>
                <c:pt idx="131">
                  <c:v>28.8</c:v>
                </c:pt>
                <c:pt idx="132">
                  <c:v>63.4</c:v>
                </c:pt>
                <c:pt idx="133">
                  <c:v>63.5</c:v>
                </c:pt>
                <c:pt idx="134">
                  <c:v>63.3</c:v>
                </c:pt>
                <c:pt idx="135">
                  <c:v>60.1</c:v>
                </c:pt>
                <c:pt idx="136">
                  <c:v>40.700000000000003</c:v>
                </c:pt>
                <c:pt idx="137">
                  <c:v>21.5</c:v>
                </c:pt>
                <c:pt idx="138">
                  <c:v>60.6</c:v>
                </c:pt>
                <c:pt idx="139">
                  <c:v>49.4</c:v>
                </c:pt>
                <c:pt idx="140">
                  <c:v>32.299999999999997</c:v>
                </c:pt>
                <c:pt idx="141">
                  <c:v>48.5</c:v>
                </c:pt>
                <c:pt idx="142">
                  <c:v>29.7</c:v>
                </c:pt>
                <c:pt idx="143">
                  <c:v>43.6</c:v>
                </c:pt>
                <c:pt idx="144">
                  <c:v>33.299999999999997</c:v>
                </c:pt>
                <c:pt idx="145">
                  <c:v>50.1</c:v>
                </c:pt>
                <c:pt idx="146">
                  <c:v>44.1</c:v>
                </c:pt>
                <c:pt idx="147">
                  <c:v>51.3</c:v>
                </c:pt>
                <c:pt idx="148">
                  <c:v>8.8000000000000007</c:v>
                </c:pt>
                <c:pt idx="149">
                  <c:v>55.6</c:v>
                </c:pt>
                <c:pt idx="150">
                  <c:v>9.5</c:v>
                </c:pt>
                <c:pt idx="151">
                  <c:v>10</c:v>
                </c:pt>
                <c:pt idx="152">
                  <c:v>62.7</c:v>
                </c:pt>
                <c:pt idx="153">
                  <c:v>64.3</c:v>
                </c:pt>
                <c:pt idx="154">
                  <c:v>56.5</c:v>
                </c:pt>
                <c:pt idx="155">
                  <c:v>65.3</c:v>
                </c:pt>
                <c:pt idx="156">
                  <c:v>57.7</c:v>
                </c:pt>
                <c:pt idx="157">
                  <c:v>54.9</c:v>
                </c:pt>
                <c:pt idx="158">
                  <c:v>49.2</c:v>
                </c:pt>
                <c:pt idx="159">
                  <c:v>52.1</c:v>
                </c:pt>
                <c:pt idx="160">
                  <c:v>48</c:v>
                </c:pt>
                <c:pt idx="161">
                  <c:v>53.6</c:v>
                </c:pt>
                <c:pt idx="162">
                  <c:v>56.2</c:v>
                </c:pt>
                <c:pt idx="163">
                  <c:v>9.8000000000000007</c:v>
                </c:pt>
                <c:pt idx="164">
                  <c:v>61.1</c:v>
                </c:pt>
                <c:pt idx="165">
                  <c:v>52.6</c:v>
                </c:pt>
                <c:pt idx="166">
                  <c:v>64.3</c:v>
                </c:pt>
                <c:pt idx="167">
                  <c:v>60.8</c:v>
                </c:pt>
                <c:pt idx="168">
                  <c:v>59.7</c:v>
                </c:pt>
                <c:pt idx="169">
                  <c:v>28.1</c:v>
                </c:pt>
                <c:pt idx="170">
                  <c:v>41</c:v>
                </c:pt>
                <c:pt idx="171">
                  <c:v>52.7</c:v>
                </c:pt>
                <c:pt idx="172">
                  <c:v>58.7</c:v>
                </c:pt>
                <c:pt idx="173">
                  <c:v>60.7</c:v>
                </c:pt>
                <c:pt idx="174">
                  <c:v>50.7</c:v>
                </c:pt>
                <c:pt idx="175">
                  <c:v>60.1</c:v>
                </c:pt>
                <c:pt idx="176">
                  <c:v>57.1</c:v>
                </c:pt>
                <c:pt idx="177">
                  <c:v>48.8</c:v>
                </c:pt>
                <c:pt idx="178">
                  <c:v>57.2</c:v>
                </c:pt>
                <c:pt idx="179">
                  <c:v>37.9</c:v>
                </c:pt>
                <c:pt idx="180">
                  <c:v>77.8</c:v>
                </c:pt>
                <c:pt idx="181">
                  <c:v>40.299999999999997</c:v>
                </c:pt>
                <c:pt idx="182">
                  <c:v>32</c:v>
                </c:pt>
                <c:pt idx="183">
                  <c:v>49.5</c:v>
                </c:pt>
                <c:pt idx="184">
                  <c:v>53.5</c:v>
                </c:pt>
                <c:pt idx="185">
                  <c:v>43.2</c:v>
                </c:pt>
                <c:pt idx="186">
                  <c:v>56.5</c:v>
                </c:pt>
                <c:pt idx="187">
                  <c:v>68.099999999999994</c:v>
                </c:pt>
                <c:pt idx="188">
                  <c:v>65</c:v>
                </c:pt>
                <c:pt idx="189">
                  <c:v>86.2</c:v>
                </c:pt>
                <c:pt idx="190">
                  <c:v>55.4</c:v>
                </c:pt>
                <c:pt idx="191">
                  <c:v>54.5</c:v>
                </c:pt>
                <c:pt idx="192">
                  <c:v>56.2</c:v>
                </c:pt>
                <c:pt idx="193">
                  <c:v>61.5</c:v>
                </c:pt>
                <c:pt idx="194">
                  <c:v>56.6</c:v>
                </c:pt>
                <c:pt idx="195">
                  <c:v>47.3</c:v>
                </c:pt>
                <c:pt idx="196">
                  <c:v>42</c:v>
                </c:pt>
                <c:pt idx="197">
                  <c:v>35.6</c:v>
                </c:pt>
                <c:pt idx="198">
                  <c:v>41.8</c:v>
                </c:pt>
                <c:pt idx="199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3-4E6C-9EE3-7D93872B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85408"/>
        <c:axId val="2135083968"/>
      </c:scatterChart>
      <c:valAx>
        <c:axId val="213508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83968"/>
        <c:crosses val="autoZero"/>
        <c:crossBetween val="midCat"/>
      </c:valAx>
      <c:valAx>
        <c:axId val="21350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8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Frecuencias Acumuladas de</a:t>
            </a:r>
            <a:r>
              <a:rPr lang="en-US" baseline="0"/>
              <a:t> Pejegallo</a:t>
            </a:r>
          </a:p>
        </c:rich>
      </c:tx>
      <c:layout>
        <c:manualLayout>
          <c:xMode val="edge"/>
          <c:yMode val="edge"/>
          <c:x val="0.163104111986001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'GOMPERTZ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'GOMPERTZ L50 Machos LT'!$D$11:$D$20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6-412E-AD71-7C0CDFBD2534}"/>
            </c:ext>
          </c:extLst>
        </c:ser>
        <c:ser>
          <c:idx val="1"/>
          <c:order val="1"/>
          <c:tx>
            <c:v>Modelo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'GOMPERTZ L50 Machos LT'!$E$11:$E$20</c:f>
              <c:numCache>
                <c:formatCode>0.00E+00</c:formatCode>
                <c:ptCount val="10"/>
                <c:pt idx="0">
                  <c:v>3.7488940662098763E-73</c:v>
                </c:pt>
                <c:pt idx="1">
                  <c:v>6.5639882257153136E-29</c:v>
                </c:pt>
                <c:pt idx="2">
                  <c:v>1.0798036803631056E-11</c:v>
                </c:pt>
                <c:pt idx="3">
                  <c:v>5.4025173011160037E-5</c:v>
                </c:pt>
                <c:pt idx="4">
                  <c:v>2.1849669694252165E-2</c:v>
                </c:pt>
                <c:pt idx="5">
                  <c:v>0.22585819965004181</c:v>
                </c:pt>
                <c:pt idx="6">
                  <c:v>0.56048131180381944</c:v>
                </c:pt>
                <c:pt idx="7">
                  <c:v>0.79828644970349139</c:v>
                </c:pt>
                <c:pt idx="8">
                  <c:v>0.91606752961658422</c:v>
                </c:pt>
                <c:pt idx="9">
                  <c:v>0.96646252798994936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16-412E-AD71-7C0CDFBD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15631"/>
        <c:axId val="112114671"/>
      </c:lineChart>
      <c:catAx>
        <c:axId val="112115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Marca de Clase</a:t>
                </a:r>
              </a:p>
            </c:rich>
          </c:tx>
          <c:layout>
            <c:manualLayout>
              <c:xMode val="edge"/>
              <c:yMode val="edge"/>
              <c:x val="0.43516111174756383"/>
              <c:y val="0.92690375240051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4671"/>
        <c:crosses val="autoZero"/>
        <c:auto val="1"/>
        <c:lblAlgn val="ctr"/>
        <c:lblOffset val="100"/>
        <c:noMultiLvlLbl val="0"/>
      </c:catAx>
      <c:valAx>
        <c:axId val="112114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 Frecuencias Acumuladas de Pejegallo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863674859728036E-2"/>
          <c:y val="0.14879219097738081"/>
          <c:w val="0.78082699898848917"/>
          <c:h val="0.70877047272987637"/>
        </c:manualLayout>
      </c:layout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'GOMPERTZ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'GOMPERTZ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B-4B7C-99E0-6DBF0C4F4980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'GOMPERTZ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'GOMPERTZ L50 Hembras LT'!$E$11:$E$19</c:f>
              <c:numCache>
                <c:formatCode>0.000E+00</c:formatCode>
                <c:ptCount val="9"/>
                <c:pt idx="0">
                  <c:v>3.283438762656893E-75</c:v>
                </c:pt>
                <c:pt idx="1">
                  <c:v>1.5109444184205825E-24</c:v>
                </c:pt>
                <c:pt idx="2">
                  <c:v>2.4090416636808058E-8</c:v>
                </c:pt>
                <c:pt idx="3">
                  <c:v>3.6612085632978415E-3</c:v>
                </c:pt>
                <c:pt idx="4">
                  <c:v>0.16627177497778795</c:v>
                </c:pt>
                <c:pt idx="5">
                  <c:v>0.56338934481412661</c:v>
                </c:pt>
                <c:pt idx="6">
                  <c:v>0.83234941226440817</c:v>
                </c:pt>
                <c:pt idx="7">
                  <c:v>0.94300244976279712</c:v>
                </c:pt>
                <c:pt idx="8">
                  <c:v>0.98140643490667834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B-4B7C-99E0-6DBF0C4F4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697935"/>
        <c:axId val="1250699375"/>
      </c:lineChart>
      <c:catAx>
        <c:axId val="125069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Marca de Clase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9375"/>
        <c:crosses val="autoZero"/>
        <c:auto val="1"/>
        <c:lblAlgn val="ctr"/>
        <c:lblOffset val="100"/>
        <c:noMultiLvlLbl val="0"/>
      </c:catAx>
      <c:valAx>
        <c:axId val="12506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9793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4716776936533"/>
          <c:y val="0.17333750501403927"/>
          <c:w val="0.74330522251595488"/>
          <c:h val="0.70125888487765731"/>
        </c:manualLayout>
      </c:layout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'GOMPERTZ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'GOMPERTZ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D-4AD6-B31A-18E3A673974F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'GOMPERTZ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'GOMPERTZ L50 Machos Precaudal'!$E$11:$E$20</c:f>
              <c:numCache>
                <c:formatCode>General</c:formatCode>
                <c:ptCount val="10"/>
                <c:pt idx="0">
                  <c:v>5.5442777153681224E-257</c:v>
                </c:pt>
                <c:pt idx="1">
                  <c:v>2.7414878334795938E-82</c:v>
                </c:pt>
                <c:pt idx="2">
                  <c:v>1.0969483477906423E-26</c:v>
                </c:pt>
                <c:pt idx="3">
                  <c:v>5.462971588058651E-9</c:v>
                </c:pt>
                <c:pt idx="4">
                  <c:v>2.3451084888945939E-3</c:v>
                </c:pt>
                <c:pt idx="5">
                  <c:v>0.14553491693186943</c:v>
                </c:pt>
                <c:pt idx="6">
                  <c:v>0.54148517749827718</c:v>
                </c:pt>
                <c:pt idx="7">
                  <c:v>0.82263105006627812</c:v>
                </c:pt>
                <c:pt idx="8">
                  <c:v>0.93974757193938485</c:v>
                </c:pt>
                <c:pt idx="9">
                  <c:v>0.98041494744174063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CD-4AD6-B31A-18E3A673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015007"/>
        <c:axId val="367015967"/>
      </c:lineChart>
      <c:catAx>
        <c:axId val="3670150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15967"/>
        <c:crosses val="autoZero"/>
        <c:auto val="1"/>
        <c:lblAlgn val="ctr"/>
        <c:lblOffset val="100"/>
        <c:noMultiLvlLbl val="0"/>
      </c:catAx>
      <c:valAx>
        <c:axId val="3670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15007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'GOMPERTZ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'GOMPERTZ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7-443E-BA2F-CC12B302155F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'GOMPERTZ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'GOMPERTZ L50 Hembras Precaudal'!$E$11:$E$19</c:f>
              <c:numCache>
                <c:formatCode>0.000E+00</c:formatCode>
                <c:ptCount val="9"/>
                <c:pt idx="0">
                  <c:v>3.5337858601207887E-118</c:v>
                </c:pt>
                <c:pt idx="1">
                  <c:v>2.6481326278949369E-27</c:v>
                </c:pt>
                <c:pt idx="2">
                  <c:v>9.6855790545826283E-7</c:v>
                </c:pt>
                <c:pt idx="3">
                  <c:v>4.356890084679773E-2</c:v>
                </c:pt>
                <c:pt idx="4">
                  <c:v>0.49212111641265338</c:v>
                </c:pt>
                <c:pt idx="5">
                  <c:v>0.85176904494361616</c:v>
                </c:pt>
                <c:pt idx="6">
                  <c:v>0.96434666686460879</c:v>
                </c:pt>
                <c:pt idx="7">
                  <c:v>0.99181865952100978</c:v>
                </c:pt>
                <c:pt idx="8">
                  <c:v>0.9981428331185711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7-443E-BA2F-CC12B3021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211039"/>
        <c:axId val="242207679"/>
      </c:lineChart>
      <c:catAx>
        <c:axId val="2422110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07679"/>
        <c:crosses val="autoZero"/>
        <c:auto val="1"/>
        <c:lblAlgn val="ctr"/>
        <c:lblOffset val="100"/>
        <c:noMultiLvlLbl val="0"/>
      </c:catAx>
      <c:valAx>
        <c:axId val="2422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1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'RICHARDS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'RICHARDS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D-491A-BA2D-B5435C97C12C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'RICHARDS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'RICHARDS L50 Machos LT'!$E$11:$E$20</c:f>
              <c:numCache>
                <c:formatCode>General</c:formatCode>
                <c:ptCount val="10"/>
                <c:pt idx="0">
                  <c:v>5.8419234409446478E-6</c:v>
                </c:pt>
                <c:pt idx="1">
                  <c:v>6.0478057251447851E-5</c:v>
                </c:pt>
                <c:pt idx="2">
                  <c:v>6.1028206427159908E-4</c:v>
                </c:pt>
                <c:pt idx="3">
                  <c:v>5.7026925756430234E-3</c:v>
                </c:pt>
                <c:pt idx="4">
                  <c:v>4.3197192387128359E-2</c:v>
                </c:pt>
                <c:pt idx="5">
                  <c:v>0.20784734843137118</c:v>
                </c:pt>
                <c:pt idx="6">
                  <c:v>0.52831923513556145</c:v>
                </c:pt>
                <c:pt idx="7">
                  <c:v>0.79899028436823827</c:v>
                </c:pt>
                <c:pt idx="8">
                  <c:v>0.92888029272769257</c:v>
                </c:pt>
                <c:pt idx="9">
                  <c:v>0.97662206253697126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D-491A-BA2D-B5435C97C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577967"/>
        <c:axId val="241581327"/>
      </c:lineChart>
      <c:catAx>
        <c:axId val="24157796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1327"/>
        <c:crosses val="autoZero"/>
        <c:auto val="1"/>
        <c:lblAlgn val="ctr"/>
        <c:lblOffset val="100"/>
        <c:noMultiLvlLbl val="0"/>
      </c:catAx>
      <c:valAx>
        <c:axId val="24158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'RICHARDS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'RICHARDS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7-4248-B5C0-CCDDEB00FD3D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'RICHARDS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'RICHARDS L50 Hembras LT'!$E$11:$E$19</c:f>
              <c:numCache>
                <c:formatCode>General</c:formatCode>
                <c:ptCount val="9"/>
                <c:pt idx="0">
                  <c:v>2.7808038611740052E-4</c:v>
                </c:pt>
                <c:pt idx="1">
                  <c:v>1.2910610121394433E-3</c:v>
                </c:pt>
                <c:pt idx="2">
                  <c:v>5.9934757436541581E-3</c:v>
                </c:pt>
                <c:pt idx="3">
                  <c:v>2.7786865653862708E-2</c:v>
                </c:pt>
                <c:pt idx="4">
                  <c:v>0.12669924551471984</c:v>
                </c:pt>
                <c:pt idx="5">
                  <c:v>0.48445347515924403</c:v>
                </c:pt>
                <c:pt idx="6">
                  <c:v>0.9045072714935084</c:v>
                </c:pt>
                <c:pt idx="7">
                  <c:v>0.99161078253343193</c:v>
                </c:pt>
                <c:pt idx="8">
                  <c:v>0.99934165301834044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7-4248-B5C0-CCDDEB00F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304943"/>
        <c:axId val="328302543"/>
      </c:lineChart>
      <c:catAx>
        <c:axId val="3283049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02543"/>
        <c:crosses val="autoZero"/>
        <c:auto val="1"/>
        <c:lblAlgn val="ctr"/>
        <c:lblOffset val="100"/>
        <c:noMultiLvlLbl val="0"/>
      </c:catAx>
      <c:valAx>
        <c:axId val="3283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'RICHARDS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'RICHARDS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0-4CD8-9D89-494244D4B3FA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'RICHARDS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'RICHARDS L50 Machos Precaudal'!$E$11:$E$20</c:f>
              <c:numCache>
                <c:formatCode>General</c:formatCode>
                <c:ptCount val="10"/>
                <c:pt idx="0">
                  <c:v>1.9350202809387945E-6</c:v>
                </c:pt>
                <c:pt idx="1">
                  <c:v>1.8149474786590602E-5</c:v>
                </c:pt>
                <c:pt idx="2">
                  <c:v>1.700315464021803E-4</c:v>
                </c:pt>
                <c:pt idx="3">
                  <c:v>1.5826408036711296E-3</c:v>
                </c:pt>
                <c:pt idx="4">
                  <c:v>1.4226666486290635E-2</c:v>
                </c:pt>
                <c:pt idx="5">
                  <c:v>0.10783544562030853</c:v>
                </c:pt>
                <c:pt idx="6">
                  <c:v>0.45911852664157671</c:v>
                </c:pt>
                <c:pt idx="7">
                  <c:v>0.83519673470387212</c:v>
                </c:pt>
                <c:pt idx="8">
                  <c:v>0.96598663399891893</c:v>
                </c:pt>
                <c:pt idx="9">
                  <c:v>0.99366551924217095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0-4CD8-9D89-494244D4B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958767"/>
        <c:axId val="233947247"/>
      </c:lineChart>
      <c:catAx>
        <c:axId val="23395876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47247"/>
        <c:crosses val="autoZero"/>
        <c:auto val="1"/>
        <c:lblAlgn val="ctr"/>
        <c:lblOffset val="100"/>
        <c:noMultiLvlLbl val="0"/>
      </c:catAx>
      <c:valAx>
        <c:axId val="23394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'RICHARDS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'RICHARDS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D-4C3A-8E77-EAFFC006F272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'RICHARDS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'RICHARDS L50 Hembras Precaudal'!$E$11:$E$19</c:f>
              <c:numCache>
                <c:formatCode>General</c:formatCode>
                <c:ptCount val="9"/>
                <c:pt idx="0">
                  <c:v>1.9499348746807924E-4</c:v>
                </c:pt>
                <c:pt idx="1">
                  <c:v>1.3654061955088222E-3</c:v>
                </c:pt>
                <c:pt idx="2">
                  <c:v>9.5552467497214064E-3</c:v>
                </c:pt>
                <c:pt idx="3">
                  <c:v>6.615432412012634E-2</c:v>
                </c:pt>
                <c:pt idx="4">
                  <c:v>0.38795562731707389</c:v>
                </c:pt>
                <c:pt idx="5">
                  <c:v>0.89904938919254918</c:v>
                </c:pt>
                <c:pt idx="6">
                  <c:v>0.99364157700131028</c:v>
                </c:pt>
                <c:pt idx="7">
                  <c:v>0.99964386204554456</c:v>
                </c:pt>
                <c:pt idx="8">
                  <c:v>0.99998019302037777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D-4C3A-8E77-EAFFC006F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328591"/>
        <c:axId val="746334351"/>
      </c:lineChart>
      <c:catAx>
        <c:axId val="7463285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34351"/>
        <c:crosses val="autoZero"/>
        <c:auto val="1"/>
        <c:lblAlgn val="ctr"/>
        <c:lblOffset val="100"/>
        <c:noMultiLvlLbl val="0"/>
      </c:catAx>
      <c:valAx>
        <c:axId val="7463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2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'LYSACK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F-4AEE-BF1B-275390EEBB05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'LYSACK L50 Machos LT'!$E$11:$E$20</c:f>
              <c:numCache>
                <c:formatCode>General</c:formatCode>
                <c:ptCount val="10"/>
                <c:pt idx="0">
                  <c:v>3.253703019346515E-4</c:v>
                </c:pt>
                <c:pt idx="1">
                  <c:v>1.2441102897904376E-3</c:v>
                </c:pt>
                <c:pt idx="2">
                  <c:v>4.7447604407912835E-3</c:v>
                </c:pt>
                <c:pt idx="3">
                  <c:v>1.791874252708741E-2</c:v>
                </c:pt>
                <c:pt idx="4">
                  <c:v>6.5271821210029113E-2</c:v>
                </c:pt>
                <c:pt idx="5">
                  <c:v>0.21089085994807444</c:v>
                </c:pt>
                <c:pt idx="6">
                  <c:v>0.50564165404950712</c:v>
                </c:pt>
                <c:pt idx="7">
                  <c:v>0.79652235318158637</c:v>
                </c:pt>
                <c:pt idx="8">
                  <c:v>0.93742849511251425</c:v>
                </c:pt>
                <c:pt idx="9">
                  <c:v>0.98285848698309219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F-4AEE-BF1B-275390EEB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437712"/>
        <c:axId val="100141887"/>
      </c:lineChart>
      <c:catAx>
        <c:axId val="198443771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1887"/>
        <c:crosses val="autoZero"/>
        <c:auto val="1"/>
        <c:lblAlgn val="ctr"/>
        <c:lblOffset val="100"/>
        <c:noMultiLvlLbl val="0"/>
      </c:catAx>
      <c:valAx>
        <c:axId val="1001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'LYSACK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5-4CD0-A7CC-9996A3717822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'LYSACK L50 Hembras LT'!$E$11:$E$19</c:f>
              <c:numCache>
                <c:formatCode>General</c:formatCode>
                <c:ptCount val="9"/>
                <c:pt idx="0">
                  <c:v>3.2767851378930246E-5</c:v>
                </c:pt>
                <c:pt idx="1">
                  <c:v>2.6000685995904225E-4</c:v>
                </c:pt>
                <c:pt idx="2">
                  <c:v>2.0598603424809461E-3</c:v>
                </c:pt>
                <c:pt idx="3">
                  <c:v>1.6118025312808877E-2</c:v>
                </c:pt>
                <c:pt idx="4">
                  <c:v>0.11505855344965162</c:v>
                </c:pt>
                <c:pt idx="5">
                  <c:v>0.50785112265577337</c:v>
                </c:pt>
                <c:pt idx="6">
                  <c:v>0.89118418738834282</c:v>
                </c:pt>
                <c:pt idx="7">
                  <c:v>0.98484840410936614</c:v>
                </c:pt>
                <c:pt idx="8">
                  <c:v>0.99806530545179706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5-4CD0-A7CC-9996A371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953007"/>
        <c:axId val="233951087"/>
      </c:lineChart>
      <c:catAx>
        <c:axId val="2339530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1087"/>
        <c:crosses val="autoZero"/>
        <c:auto val="1"/>
        <c:lblAlgn val="ctr"/>
        <c:lblOffset val="100"/>
        <c:noMultiLvlLbl val="0"/>
      </c:catAx>
      <c:valAx>
        <c:axId val="2339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'LYSACK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DB2-BFF9-DB67A94AF9FA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'LYSACK L50 Machos Precaudal'!$E$11:$E$20</c:f>
              <c:numCache>
                <c:formatCode>General</c:formatCode>
                <c:ptCount val="10"/>
                <c:pt idx="0">
                  <c:v>1.3320529101409422E-5</c:v>
                </c:pt>
                <c:pt idx="1">
                  <c:v>8.3540264441927357E-5</c:v>
                </c:pt>
                <c:pt idx="2">
                  <c:v>5.2373244858941611E-4</c:v>
                </c:pt>
                <c:pt idx="3">
                  <c:v>3.2757961473745345E-3</c:v>
                </c:pt>
                <c:pt idx="4">
                  <c:v>2.0196937582064315E-2</c:v>
                </c:pt>
                <c:pt idx="5">
                  <c:v>0.11448475070414665</c:v>
                </c:pt>
                <c:pt idx="6">
                  <c:v>0.4477822236154223</c:v>
                </c:pt>
                <c:pt idx="7">
                  <c:v>0.83568371551590825</c:v>
                </c:pt>
                <c:pt idx="8">
                  <c:v>0.96960320180942861</c:v>
                </c:pt>
                <c:pt idx="9">
                  <c:v>0.99502648340162558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D3-4DB2-BFF9-DB67A94AF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955407"/>
        <c:axId val="233951567"/>
      </c:lineChart>
      <c:catAx>
        <c:axId val="2339554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1567"/>
        <c:crosses val="autoZero"/>
        <c:auto val="1"/>
        <c:lblAlgn val="ctr"/>
        <c:lblOffset val="100"/>
        <c:noMultiLvlLbl val="0"/>
      </c:catAx>
      <c:valAx>
        <c:axId val="2339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'LYSACK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9-431A-8920-F5E829051C08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'LYSACK L50 Hembras Precaudal'!$E$11:$E$19</c:f>
              <c:numCache>
                <c:formatCode>General</c:formatCode>
                <c:ptCount val="9"/>
                <c:pt idx="0">
                  <c:v>2.4824696663845832E-5</c:v>
                </c:pt>
                <c:pt idx="1">
                  <c:v>3.1869173608504113E-4</c:v>
                </c:pt>
                <c:pt idx="2">
                  <c:v>4.0770820803805279E-3</c:v>
                </c:pt>
                <c:pt idx="3">
                  <c:v>4.9944449034541989E-2</c:v>
                </c:pt>
                <c:pt idx="4">
                  <c:v>0.40301219321147985</c:v>
                </c:pt>
                <c:pt idx="5">
                  <c:v>0.89657630842010361</c:v>
                </c:pt>
                <c:pt idx="6">
                  <c:v>0.99109703928312931</c:v>
                </c:pt>
                <c:pt idx="7">
                  <c:v>0.9993009631247598</c:v>
                </c:pt>
                <c:pt idx="8">
                  <c:v>0.99994552896533995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9-431A-8920-F5E829051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88079"/>
        <c:axId val="227488559"/>
      </c:lineChart>
      <c:catAx>
        <c:axId val="2274880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88559"/>
        <c:crosses val="autoZero"/>
        <c:auto val="1"/>
        <c:lblAlgn val="ctr"/>
        <c:lblOffset val="100"/>
        <c:noMultiLvlLbl val="0"/>
      </c:catAx>
      <c:valAx>
        <c:axId val="2274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'White etal.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D-4C07-8987-3DF86EE0E226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'White etal. L50 Machos LT'!$E$11:$E$20</c:f>
              <c:numCache>
                <c:formatCode>General</c:formatCode>
                <c:ptCount val="10"/>
                <c:pt idx="0">
                  <c:v>3.2535341872750017E-4</c:v>
                </c:pt>
                <c:pt idx="1">
                  <c:v>1.2440545477529609E-3</c:v>
                </c:pt>
                <c:pt idx="2">
                  <c:v>4.7445818691900206E-3</c:v>
                </c:pt>
                <c:pt idx="3">
                  <c:v>1.79182010589727E-2</c:v>
                </c:pt>
                <c:pt idx="4">
                  <c:v>6.5270373796891462E-2</c:v>
                </c:pt>
                <c:pt idx="5">
                  <c:v>0.21088808447643673</c:v>
                </c:pt>
                <c:pt idx="6">
                  <c:v>0.5056392463270809</c:v>
                </c:pt>
                <c:pt idx="7">
                  <c:v>0.79652193401973204</c:v>
                </c:pt>
                <c:pt idx="8">
                  <c:v>0.93742875669922487</c:v>
                </c:pt>
                <c:pt idx="9">
                  <c:v>0.98285868082382555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D-4C07-8987-3DF86EE0E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532991"/>
        <c:axId val="228533951"/>
      </c:lineChart>
      <c:catAx>
        <c:axId val="2285329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33951"/>
        <c:crosses val="autoZero"/>
        <c:auto val="1"/>
        <c:lblAlgn val="ctr"/>
        <c:lblOffset val="100"/>
        <c:noMultiLvlLbl val="0"/>
      </c:catAx>
      <c:valAx>
        <c:axId val="2285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'White etal.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6-495A-B474-3A54EBB9C25D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'White etal. L50 Hembras LT'!$E$11:$E$19</c:f>
              <c:numCache>
                <c:formatCode>General</c:formatCode>
                <c:ptCount val="9"/>
                <c:pt idx="0">
                  <c:v>3.2767746892034257E-5</c:v>
                </c:pt>
                <c:pt idx="1">
                  <c:v>2.6000619186414796E-4</c:v>
                </c:pt>
                <c:pt idx="2">
                  <c:v>2.0598563307667682E-3</c:v>
                </c:pt>
                <c:pt idx="3">
                  <c:v>1.6118004174169032E-2</c:v>
                </c:pt>
                <c:pt idx="4">
                  <c:v>0.11505848071297457</c:v>
                </c:pt>
                <c:pt idx="5">
                  <c:v>0.50785109872332301</c:v>
                </c:pt>
                <c:pt idx="6">
                  <c:v>0.89118423809246261</c:v>
                </c:pt>
                <c:pt idx="7">
                  <c:v>0.98484842114239546</c:v>
                </c:pt>
                <c:pt idx="8">
                  <c:v>0.99806530885042544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6-495A-B474-3A54EBB9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52367"/>
        <c:axId val="82554767"/>
      </c:lineChart>
      <c:catAx>
        <c:axId val="8255236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4767"/>
        <c:crosses val="autoZero"/>
        <c:auto val="1"/>
        <c:lblAlgn val="ctr"/>
        <c:lblOffset val="100"/>
        <c:noMultiLvlLbl val="0"/>
      </c:catAx>
      <c:valAx>
        <c:axId val="825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Machos Precauda'!$A$11:$A$20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'White etal. L50 Machos Precauda'!$D$11:$D$20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2-4816-B8AD-2BAFC157DBC2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Machos Precauda'!$A$11:$A$20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'White etal. L50 Machos Precauda'!$E$11:$E$20</c:f>
              <c:numCache>
                <c:formatCode>General</c:formatCode>
                <c:ptCount val="10"/>
                <c:pt idx="0">
                  <c:v>1.3318992994674333E-5</c:v>
                </c:pt>
                <c:pt idx="1">
                  <c:v>8.3532156995573008E-5</c:v>
                </c:pt>
                <c:pt idx="2">
                  <c:v>5.2369120409806414E-4</c:v>
                </c:pt>
                <c:pt idx="3">
                  <c:v>3.2755985199233663E-3</c:v>
                </c:pt>
                <c:pt idx="4">
                  <c:v>2.01961012369542E-2</c:v>
                </c:pt>
                <c:pt idx="5">
                  <c:v>0.11448231783777207</c:v>
                </c:pt>
                <c:pt idx="6">
                  <c:v>0.44778080613452537</c:v>
                </c:pt>
                <c:pt idx="7">
                  <c:v>0.83568543653681127</c:v>
                </c:pt>
                <c:pt idx="8">
                  <c:v>0.96960410953147524</c:v>
                </c:pt>
                <c:pt idx="9">
                  <c:v>0.99502672620664045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2-4816-B8AD-2BAFC157D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16543"/>
        <c:axId val="227830943"/>
      </c:lineChart>
      <c:catAx>
        <c:axId val="2278165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30943"/>
        <c:crosses val="autoZero"/>
        <c:auto val="1"/>
        <c:lblAlgn val="ctr"/>
        <c:lblOffset val="100"/>
        <c:noMultiLvlLbl val="0"/>
      </c:catAx>
      <c:valAx>
        <c:axId val="2278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1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Hembras Precaud'!$A$11:$A$19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'White etal. L50 Hembras Precaud'!$D$11:$D$19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2-4CD3-BE79-DF1B03D2F506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'White etal. L50 Hembras Precaud'!$A$11:$A$19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'White etal. L50 Hembras Precaud'!$E$11:$E$19</c:f>
              <c:numCache>
                <c:formatCode>General</c:formatCode>
                <c:ptCount val="9"/>
                <c:pt idx="0">
                  <c:v>2.4824990813171961E-5</c:v>
                </c:pt>
                <c:pt idx="1">
                  <c:v>3.1869410256051445E-4</c:v>
                </c:pt>
                <c:pt idx="2">
                  <c:v>4.077094288508467E-3</c:v>
                </c:pt>
                <c:pt idx="3">
                  <c:v>4.9944381903883436E-2</c:v>
                </c:pt>
                <c:pt idx="4">
                  <c:v>0.40301078908111132</c:v>
                </c:pt>
                <c:pt idx="5">
                  <c:v>0.89657535726962423</c:v>
                </c:pt>
                <c:pt idx="6">
                  <c:v>0.99109690976073461</c:v>
                </c:pt>
                <c:pt idx="7">
                  <c:v>0.9993009497822436</c:v>
                </c:pt>
                <c:pt idx="8">
                  <c:v>0.99994552768415323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2-4CD3-BE79-DF1B03D2F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437232"/>
        <c:axId val="227487119"/>
      </c:lineChart>
      <c:catAx>
        <c:axId val="19844372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87119"/>
        <c:crosses val="autoZero"/>
        <c:auto val="1"/>
        <c:lblAlgn val="ctr"/>
        <c:lblOffset val="100"/>
        <c:noMultiLvlLbl val="0"/>
      </c:catAx>
      <c:valAx>
        <c:axId val="2274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3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'BG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'BG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1-4A62-AC67-769C9E0FC1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'BG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'BG L50 Machos LT'!$E$11:$E$20</c:f>
              <c:numCache>
                <c:formatCode>General</c:formatCode>
                <c:ptCount val="10"/>
                <c:pt idx="0">
                  <c:v>3.2535306782245459E-4</c:v>
                </c:pt>
                <c:pt idx="1">
                  <c:v>1.2440536159806985E-3</c:v>
                </c:pt>
                <c:pt idx="2">
                  <c:v>4.744579881480521E-3</c:v>
                </c:pt>
                <c:pt idx="3">
                  <c:v>1.7918199440613888E-2</c:v>
                </c:pt>
                <c:pt idx="4">
                  <c:v>6.5270388256664202E-2</c:v>
                </c:pt>
                <c:pt idx="5">
                  <c:v>0.21088817866347301</c:v>
                </c:pt>
                <c:pt idx="6">
                  <c:v>0.50563947003668763</c:v>
                </c:pt>
                <c:pt idx="7">
                  <c:v>0.79652213238705716</c:v>
                </c:pt>
                <c:pt idx="8" formatCode="0E+00">
                  <c:v>0.93742884778610958</c:v>
                </c:pt>
                <c:pt idx="9" formatCode="0E+00">
                  <c:v>0.98285871252861967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1-4A62-AC67-769C9E0FC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165375"/>
        <c:axId val="227165855"/>
      </c:lineChart>
      <c:catAx>
        <c:axId val="2271653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65855"/>
        <c:crosses val="autoZero"/>
        <c:auto val="1"/>
        <c:lblAlgn val="ctr"/>
        <c:lblOffset val="100"/>
        <c:noMultiLvlLbl val="0"/>
      </c:catAx>
      <c:valAx>
        <c:axId val="2271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'BG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'BG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8-4DB2-8DA3-240EB9EADDB4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'BG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'BG L50 Hembras LT'!$E$11:$E$19</c:f>
              <c:numCache>
                <c:formatCode>General</c:formatCode>
                <c:ptCount val="9"/>
                <c:pt idx="0">
                  <c:v>3.2767227103496077E-5</c:v>
                </c:pt>
                <c:pt idx="1">
                  <c:v>2.6000306946704656E-4</c:v>
                </c:pt>
                <c:pt idx="2">
                  <c:v>2.0598395553807569E-3</c:v>
                </c:pt>
                <c:pt idx="3">
                  <c:v>1.6117935833720082E-2</c:v>
                </c:pt>
                <c:pt idx="4">
                  <c:v>0.11505843406420169</c:v>
                </c:pt>
                <c:pt idx="5">
                  <c:v>0.5078519468084346</c:v>
                </c:pt>
                <c:pt idx="6">
                  <c:v>0.89118494062543274</c:v>
                </c:pt>
                <c:pt idx="7">
                  <c:v>0.98484858671357745</c:v>
                </c:pt>
                <c:pt idx="8">
                  <c:v>0.99806533771239481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8-4DB2-8DA3-240EB9EA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53359"/>
        <c:axId val="193951439"/>
      </c:lineChart>
      <c:catAx>
        <c:axId val="1939533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51439"/>
        <c:crosses val="autoZero"/>
        <c:auto val="1"/>
        <c:lblAlgn val="ctr"/>
        <c:lblOffset val="100"/>
        <c:noMultiLvlLbl val="0"/>
      </c:catAx>
      <c:valAx>
        <c:axId val="1939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'BG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'BG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F-4E60-BC37-B1B829C4C3D6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'BG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'BG L50 Machos Precaudal'!$E$11:$E$20</c:f>
              <c:numCache>
                <c:formatCode>General</c:formatCode>
                <c:ptCount val="10"/>
                <c:pt idx="0">
                  <c:v>1.3321214207782444E-5</c:v>
                </c:pt>
                <c:pt idx="1">
                  <c:v>8.3543995079617253E-5</c:v>
                </c:pt>
                <c:pt idx="2">
                  <c:v>5.237522813595697E-4</c:v>
                </c:pt>
                <c:pt idx="3">
                  <c:v>3.2758977415275393E-3</c:v>
                </c:pt>
                <c:pt idx="4">
                  <c:v>2.0197419307620753E-2</c:v>
                </c:pt>
                <c:pt idx="5">
                  <c:v>0.11448653198337663</c:v>
                </c:pt>
                <c:pt idx="6">
                  <c:v>0.44778489375183811</c:v>
                </c:pt>
                <c:pt idx="7">
                  <c:v>0.83568426836191367</c:v>
                </c:pt>
                <c:pt idx="8">
                  <c:v>0.96960312087227085</c:v>
                </c:pt>
                <c:pt idx="9">
                  <c:v>0.99502643629695819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F-4E60-BC37-B1B829C4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384335"/>
        <c:axId val="953373775"/>
      </c:lineChart>
      <c:catAx>
        <c:axId val="9533843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73775"/>
        <c:crosses val="autoZero"/>
        <c:auto val="1"/>
        <c:lblAlgn val="ctr"/>
        <c:lblOffset val="100"/>
        <c:noMultiLvlLbl val="0"/>
      </c:catAx>
      <c:valAx>
        <c:axId val="9533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38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'BG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'BG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2-4811-8D8D-444F0B947934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'BG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'BG L50 Hembras Precaudal'!$E$11:$E$19</c:f>
              <c:numCache>
                <c:formatCode>General</c:formatCode>
                <c:ptCount val="9"/>
                <c:pt idx="0">
                  <c:v>2.4824922725469564E-5</c:v>
                </c:pt>
                <c:pt idx="1">
                  <c:v>3.1869346275274801E-4</c:v>
                </c:pt>
                <c:pt idx="2">
                  <c:v>4.0770891167363071E-3</c:v>
                </c:pt>
                <c:pt idx="3">
                  <c:v>4.994435632160555E-2</c:v>
                </c:pt>
                <c:pt idx="4">
                  <c:v>0.40301083609376709</c:v>
                </c:pt>
                <c:pt idx="5">
                  <c:v>0.89657544350188556</c:v>
                </c:pt>
                <c:pt idx="6">
                  <c:v>0.99109692444793307</c:v>
                </c:pt>
                <c:pt idx="7">
                  <c:v>0.99930095145811904</c:v>
                </c:pt>
                <c:pt idx="8">
                  <c:v>0.99994552785483737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2-4811-8D8D-444F0B94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011919"/>
        <c:axId val="763011439"/>
      </c:lineChart>
      <c:catAx>
        <c:axId val="76301191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11439"/>
        <c:crosses val="autoZero"/>
        <c:auto val="1"/>
        <c:lblAlgn val="ctr"/>
        <c:lblOffset val="100"/>
        <c:noMultiLvlLbl val="0"/>
      </c:catAx>
      <c:valAx>
        <c:axId val="76301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1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'Bakha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'Bakha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E-4C98-8BEF-017215588C18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'Bakha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'Bakha L50 Machos LT'!$E$11:$E$20</c:f>
              <c:numCache>
                <c:formatCode>General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E-4C98-8BEF-017215588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751327"/>
        <c:axId val="922744607"/>
      </c:lineChart>
      <c:catAx>
        <c:axId val="92275132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44607"/>
        <c:crosses val="autoZero"/>
        <c:auto val="1"/>
        <c:lblAlgn val="ctr"/>
        <c:lblOffset val="100"/>
        <c:noMultiLvlLbl val="0"/>
      </c:catAx>
      <c:valAx>
        <c:axId val="9227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'Bakha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'Bakha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6-4D74-9142-6F90AB8CC519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'Bakha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'Bakha L50 Hembras LT'!$E$11:$E$19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6-4D74-9142-6F90AB8C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251983"/>
        <c:axId val="738250543"/>
      </c:lineChart>
      <c:catAx>
        <c:axId val="73825198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50543"/>
        <c:crosses val="autoZero"/>
        <c:auto val="1"/>
        <c:lblAlgn val="ctr"/>
        <c:lblOffset val="100"/>
        <c:noMultiLvlLbl val="0"/>
      </c:catAx>
      <c:valAx>
        <c:axId val="7382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5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'Bakha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'Bakha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5-4E57-9D5D-D9E1F53731D8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'Bakha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'Bakha L50 Machos Precaudal'!$E$11:$E$20</c:f>
              <c:numCache>
                <c:formatCode>General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5-4E57-9D5D-D9E1F537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072479"/>
        <c:axId val="915072959"/>
      </c:lineChart>
      <c:catAx>
        <c:axId val="9150724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72959"/>
        <c:crosses val="autoZero"/>
        <c:auto val="1"/>
        <c:lblAlgn val="ctr"/>
        <c:lblOffset val="100"/>
        <c:noMultiLvlLbl val="0"/>
      </c:catAx>
      <c:valAx>
        <c:axId val="9150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'Bakha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'Bakha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8-4820-B516-CD29E51A5E71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'Bakha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'Bakha L50 Hembras Precaudal'!$E$11:$E$19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8-4820-B516-CD29E51A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851055"/>
        <c:axId val="249847695"/>
      </c:lineChart>
      <c:catAx>
        <c:axId val="2498510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47695"/>
        <c:crosses val="autoZero"/>
        <c:auto val="1"/>
        <c:lblAlgn val="ctr"/>
        <c:lblOffset val="100"/>
        <c:noMultiLvlLbl val="0"/>
      </c:catAx>
      <c:valAx>
        <c:axId val="2498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5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'LYSACK L50 Machos LT'!$D$11:$D$20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0.04</c:v>
                </c:pt>
                <c:pt idx="5">
                  <c:v>0.23076923076923078</c:v>
                </c:pt>
                <c:pt idx="6">
                  <c:v>0.48148148148148145</c:v>
                </c:pt>
                <c:pt idx="7">
                  <c:v>0.82068965517241377</c:v>
                </c:pt>
                <c:pt idx="8">
                  <c:v>0.90804597701149425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9-483D-8941-CEE61226D34C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LT'!$A$11:$A$20</c:f>
              <c:numCache>
                <c:formatCode>0.00</c:formatCode>
                <c:ptCount val="10"/>
                <c:pt idx="0">
                  <c:v>21.83</c:v>
                </c:pt>
                <c:pt idx="1">
                  <c:v>28.459999999999997</c:v>
                </c:pt>
                <c:pt idx="2">
                  <c:v>35.089999999999996</c:v>
                </c:pt>
                <c:pt idx="3">
                  <c:v>41.72</c:v>
                </c:pt>
                <c:pt idx="4">
                  <c:v>48.35</c:v>
                </c:pt>
                <c:pt idx="5">
                  <c:v>54.980000000000004</c:v>
                </c:pt>
                <c:pt idx="6">
                  <c:v>61.610000000000007</c:v>
                </c:pt>
                <c:pt idx="7">
                  <c:v>68.240000000000009</c:v>
                </c:pt>
                <c:pt idx="8">
                  <c:v>74.87</c:v>
                </c:pt>
                <c:pt idx="9">
                  <c:v>81.5</c:v>
                </c:pt>
              </c:numCache>
            </c:numRef>
          </c:cat>
          <c:val>
            <c:numRef>
              <c:f>'LYSACK L50 Machos LT'!$E$11:$E$20</c:f>
              <c:numCache>
                <c:formatCode>General</c:formatCode>
                <c:ptCount val="10"/>
                <c:pt idx="0">
                  <c:v>3.253703019346515E-4</c:v>
                </c:pt>
                <c:pt idx="1">
                  <c:v>1.2441102897904376E-3</c:v>
                </c:pt>
                <c:pt idx="2">
                  <c:v>4.7447604407912835E-3</c:v>
                </c:pt>
                <c:pt idx="3">
                  <c:v>1.791874252708741E-2</c:v>
                </c:pt>
                <c:pt idx="4">
                  <c:v>6.5271821210029113E-2</c:v>
                </c:pt>
                <c:pt idx="5">
                  <c:v>0.21089085994807444</c:v>
                </c:pt>
                <c:pt idx="6">
                  <c:v>0.50564165404950712</c:v>
                </c:pt>
                <c:pt idx="7">
                  <c:v>0.79652235318158637</c:v>
                </c:pt>
                <c:pt idx="8">
                  <c:v>0.93742849511251425</c:v>
                </c:pt>
                <c:pt idx="9">
                  <c:v>0.98285848698309219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9-483D-8941-CEE61226D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437712"/>
        <c:axId val="100141887"/>
      </c:lineChart>
      <c:catAx>
        <c:axId val="198443771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1887"/>
        <c:crosses val="autoZero"/>
        <c:auto val="1"/>
        <c:lblAlgn val="ctr"/>
        <c:lblOffset val="100"/>
        <c:noMultiLvlLbl val="0"/>
      </c:catAx>
      <c:valAx>
        <c:axId val="1001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'LYSACK L50 Hembras LT'!$D$11:$D$19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9.6774193548387094E-2</c:v>
                </c:pt>
                <c:pt idx="5">
                  <c:v>0.5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4-4E97-9846-E62DF20B6FB0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LT'!$A$11:$A$19</c:f>
              <c:numCache>
                <c:formatCode>0.00</c:formatCode>
                <c:ptCount val="9"/>
                <c:pt idx="0">
                  <c:v>23.766666666666666</c:v>
                </c:pt>
                <c:pt idx="1">
                  <c:v>34.333333333333329</c:v>
                </c:pt>
                <c:pt idx="2">
                  <c:v>44.899999999999991</c:v>
                </c:pt>
                <c:pt idx="3">
                  <c:v>55.466666666666654</c:v>
                </c:pt>
                <c:pt idx="4">
                  <c:v>66.033333333333317</c:v>
                </c:pt>
                <c:pt idx="5">
                  <c:v>76.59999999999998</c:v>
                </c:pt>
                <c:pt idx="6">
                  <c:v>87.166666666666643</c:v>
                </c:pt>
                <c:pt idx="7">
                  <c:v>97.733333333333306</c:v>
                </c:pt>
                <c:pt idx="8">
                  <c:v>108.29999999999997</c:v>
                </c:pt>
              </c:numCache>
            </c:numRef>
          </c:cat>
          <c:val>
            <c:numRef>
              <c:f>'LYSACK L50 Hembras LT'!$E$11:$E$19</c:f>
              <c:numCache>
                <c:formatCode>General</c:formatCode>
                <c:ptCount val="9"/>
                <c:pt idx="0">
                  <c:v>3.2767851378930246E-5</c:v>
                </c:pt>
                <c:pt idx="1">
                  <c:v>2.6000685995904225E-4</c:v>
                </c:pt>
                <c:pt idx="2">
                  <c:v>2.0598603424809461E-3</c:v>
                </c:pt>
                <c:pt idx="3">
                  <c:v>1.6118025312808877E-2</c:v>
                </c:pt>
                <c:pt idx="4">
                  <c:v>0.11505855344965162</c:v>
                </c:pt>
                <c:pt idx="5">
                  <c:v>0.50785112265577337</c:v>
                </c:pt>
                <c:pt idx="6">
                  <c:v>0.89118418738834282</c:v>
                </c:pt>
                <c:pt idx="7">
                  <c:v>0.98484840410936614</c:v>
                </c:pt>
                <c:pt idx="8">
                  <c:v>0.99806530545179706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4-4E97-9846-E62DF20B6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953007"/>
        <c:axId val="233951087"/>
      </c:lineChart>
      <c:catAx>
        <c:axId val="2339530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1087"/>
        <c:crosses val="autoZero"/>
        <c:auto val="1"/>
        <c:lblAlgn val="ctr"/>
        <c:lblOffset val="100"/>
        <c:noMultiLvlLbl val="0"/>
      </c:catAx>
      <c:valAx>
        <c:axId val="2339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'LYSACK L50 Machos Precaudal'!$D$11:$D$20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2.8571428571428571E-2</c:v>
                </c:pt>
                <c:pt idx="5">
                  <c:v>7.6923076923076927E-2</c:v>
                </c:pt>
                <c:pt idx="6">
                  <c:v>0.41818181818181815</c:v>
                </c:pt>
                <c:pt idx="7">
                  <c:v>0.86549707602339176</c:v>
                </c:pt>
                <c:pt idx="8">
                  <c:v>0.93055555555555558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3-4080-8CC5-F160C744D039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Machos Precaudal'!$A$11:$A$20</c:f>
              <c:numCache>
                <c:formatCode>0.00</c:formatCode>
                <c:ptCount val="10"/>
                <c:pt idx="0">
                  <c:v>13.734000000000002</c:v>
                </c:pt>
                <c:pt idx="1">
                  <c:v>18.508000000000003</c:v>
                </c:pt>
                <c:pt idx="2">
                  <c:v>23.282000000000004</c:v>
                </c:pt>
                <c:pt idx="3">
                  <c:v>28.056000000000004</c:v>
                </c:pt>
                <c:pt idx="4">
                  <c:v>32.830000000000005</c:v>
                </c:pt>
                <c:pt idx="5">
                  <c:v>37.604000000000006</c:v>
                </c:pt>
                <c:pt idx="6">
                  <c:v>42.378000000000007</c:v>
                </c:pt>
                <c:pt idx="7">
                  <c:v>47.152000000000008</c:v>
                </c:pt>
                <c:pt idx="8">
                  <c:v>51.926000000000009</c:v>
                </c:pt>
                <c:pt idx="9">
                  <c:v>56.70000000000001</c:v>
                </c:pt>
              </c:numCache>
            </c:numRef>
          </c:cat>
          <c:val>
            <c:numRef>
              <c:f>'LYSACK L50 Machos Precaudal'!$E$11:$E$20</c:f>
              <c:numCache>
                <c:formatCode>General</c:formatCode>
                <c:ptCount val="10"/>
                <c:pt idx="0">
                  <c:v>1.3320529101409422E-5</c:v>
                </c:pt>
                <c:pt idx="1">
                  <c:v>8.3540264441927357E-5</c:v>
                </c:pt>
                <c:pt idx="2">
                  <c:v>5.2373244858941611E-4</c:v>
                </c:pt>
                <c:pt idx="3">
                  <c:v>3.2757961473745345E-3</c:v>
                </c:pt>
                <c:pt idx="4">
                  <c:v>2.0196937582064315E-2</c:v>
                </c:pt>
                <c:pt idx="5">
                  <c:v>0.11448475070414665</c:v>
                </c:pt>
                <c:pt idx="6">
                  <c:v>0.4477822236154223</c:v>
                </c:pt>
                <c:pt idx="7">
                  <c:v>0.83568371551590825</c:v>
                </c:pt>
                <c:pt idx="8">
                  <c:v>0.96960320180942861</c:v>
                </c:pt>
                <c:pt idx="9">
                  <c:v>0.99502648340162558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3-4080-8CC5-F160C744D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955407"/>
        <c:axId val="233951567"/>
      </c:lineChart>
      <c:catAx>
        <c:axId val="2339554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1567"/>
        <c:crosses val="autoZero"/>
        <c:auto val="1"/>
        <c:lblAlgn val="ctr"/>
        <c:lblOffset val="100"/>
        <c:noMultiLvlLbl val="0"/>
      </c:catAx>
      <c:valAx>
        <c:axId val="2339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5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Observada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'LYSACK L50 Hembras Precaudal'!$D$11:$D$19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9.6774193548387094E-2</c:v>
                </c:pt>
                <c:pt idx="4">
                  <c:v>0.35849056603773582</c:v>
                </c:pt>
                <c:pt idx="5">
                  <c:v>0.9107142857142857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B-4E2C-916F-56474648A21E}"/>
            </c:ext>
          </c:extLst>
        </c:ser>
        <c:ser>
          <c:idx val="1"/>
          <c:order val="1"/>
          <c:tx>
            <c:v>Modelada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'LYSACK L50 Hembras Precaudal'!$A$11:$A$19</c:f>
              <c:numCache>
                <c:formatCode>0.00</c:formatCode>
                <c:ptCount val="9"/>
                <c:pt idx="0">
                  <c:v>17.400000000000002</c:v>
                </c:pt>
                <c:pt idx="1">
                  <c:v>26.000000000000004</c:v>
                </c:pt>
                <c:pt idx="2">
                  <c:v>34.600000000000009</c:v>
                </c:pt>
                <c:pt idx="3">
                  <c:v>43.20000000000001</c:v>
                </c:pt>
                <c:pt idx="4">
                  <c:v>51.800000000000011</c:v>
                </c:pt>
                <c:pt idx="5">
                  <c:v>60.400000000000013</c:v>
                </c:pt>
                <c:pt idx="6">
                  <c:v>69.000000000000014</c:v>
                </c:pt>
                <c:pt idx="7">
                  <c:v>77.600000000000023</c:v>
                </c:pt>
                <c:pt idx="8">
                  <c:v>86.200000000000017</c:v>
                </c:pt>
              </c:numCache>
            </c:numRef>
          </c:cat>
          <c:val>
            <c:numRef>
              <c:f>'LYSACK L50 Hembras Precaudal'!$E$11:$E$19</c:f>
              <c:numCache>
                <c:formatCode>General</c:formatCode>
                <c:ptCount val="9"/>
                <c:pt idx="0">
                  <c:v>2.4824696663845832E-5</c:v>
                </c:pt>
                <c:pt idx="1">
                  <c:v>3.1869173608504113E-4</c:v>
                </c:pt>
                <c:pt idx="2">
                  <c:v>4.0770820803805279E-3</c:v>
                </c:pt>
                <c:pt idx="3">
                  <c:v>4.9944449034541989E-2</c:v>
                </c:pt>
                <c:pt idx="4">
                  <c:v>0.40301219321147985</c:v>
                </c:pt>
                <c:pt idx="5">
                  <c:v>0.89657630842010361</c:v>
                </c:pt>
                <c:pt idx="6">
                  <c:v>0.99109703928312931</c:v>
                </c:pt>
                <c:pt idx="7">
                  <c:v>0.9993009631247598</c:v>
                </c:pt>
                <c:pt idx="8">
                  <c:v>0.99994552896533995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B-4E2C-916F-56474648A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88079"/>
        <c:axId val="227488559"/>
      </c:lineChart>
      <c:catAx>
        <c:axId val="2274880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88559"/>
        <c:crosses val="autoZero"/>
        <c:auto val="1"/>
        <c:lblAlgn val="ctr"/>
        <c:lblOffset val="100"/>
        <c:noMultiLvlLbl val="0"/>
      </c:catAx>
      <c:valAx>
        <c:axId val="2274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7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8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9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20.xml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21.xml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6.png"/><Relationship Id="rId5" Type="http://schemas.openxmlformats.org/officeDocument/2006/relationships/chart" Target="../charts/chart23.xml"/><Relationship Id="rId4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24.xml"/><Relationship Id="rId4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5" Type="http://schemas.openxmlformats.org/officeDocument/2006/relationships/chart" Target="../charts/chart25.xml"/><Relationship Id="rId4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5" Type="http://schemas.openxmlformats.org/officeDocument/2006/relationships/chart" Target="../charts/chart26.xml"/><Relationship Id="rId4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8.png"/><Relationship Id="rId5" Type="http://schemas.openxmlformats.org/officeDocument/2006/relationships/chart" Target="../charts/chart27.xml"/><Relationship Id="rId4" Type="http://schemas.openxmlformats.org/officeDocument/2006/relationships/image" Target="../media/image9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28.xml"/><Relationship Id="rId4" Type="http://schemas.openxmlformats.org/officeDocument/2006/relationships/image" Target="../media/image10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5" Type="http://schemas.openxmlformats.org/officeDocument/2006/relationships/chart" Target="../charts/chart29.xml"/><Relationship Id="rId4" Type="http://schemas.openxmlformats.org/officeDocument/2006/relationships/image" Target="../media/image10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30.xml"/><Relationship Id="rId4" Type="http://schemas.openxmlformats.org/officeDocument/2006/relationships/image" Target="../media/image1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8.png"/><Relationship Id="rId5" Type="http://schemas.openxmlformats.org/officeDocument/2006/relationships/chart" Target="../charts/chart31.xml"/><Relationship Id="rId4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32.xml"/><Relationship Id="rId4" Type="http://schemas.openxmlformats.org/officeDocument/2006/relationships/image" Target="../media/image1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5" Type="http://schemas.openxmlformats.org/officeDocument/2006/relationships/chart" Target="../charts/chart33.xml"/><Relationship Id="rId4" Type="http://schemas.openxmlformats.org/officeDocument/2006/relationships/image" Target="../media/image1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34.xml"/><Relationship Id="rId4" Type="http://schemas.openxmlformats.org/officeDocument/2006/relationships/image" Target="../media/image1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8.png"/><Relationship Id="rId5" Type="http://schemas.openxmlformats.org/officeDocument/2006/relationships/chart" Target="../charts/chart35.xml"/><Relationship Id="rId4" Type="http://schemas.openxmlformats.org/officeDocument/2006/relationships/image" Target="../media/image1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36.xml"/><Relationship Id="rId4" Type="http://schemas.openxmlformats.org/officeDocument/2006/relationships/image" Target="../media/image12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5" Type="http://schemas.openxmlformats.org/officeDocument/2006/relationships/chart" Target="../charts/chart37.xml"/><Relationship Id="rId4" Type="http://schemas.openxmlformats.org/officeDocument/2006/relationships/image" Target="../media/image12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38.xml"/><Relationship Id="rId4" Type="http://schemas.openxmlformats.org/officeDocument/2006/relationships/image" Target="../media/image12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8.png"/><Relationship Id="rId5" Type="http://schemas.openxmlformats.org/officeDocument/2006/relationships/chart" Target="../charts/chart39.xml"/><Relationship Id="rId4" Type="http://schemas.openxmlformats.org/officeDocument/2006/relationships/image" Target="../media/image1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chart" Target="../charts/chart4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chart" Target="../charts/chart41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7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chart" Target="../charts/chart42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8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306024</xdr:colOff>
      <xdr:row>37</xdr:row>
      <xdr:rowOff>68856</xdr:rowOff>
    </xdr:from>
    <xdr:to>
      <xdr:col>12</xdr:col>
      <xdr:colOff>413132</xdr:colOff>
      <xdr:row>57</xdr:row>
      <xdr:rowOff>153013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95A642-9DD4-5C1D-9D96-40D9ABB25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688556</xdr:colOff>
      <xdr:row>37</xdr:row>
      <xdr:rowOff>38252</xdr:rowOff>
    </xdr:from>
    <xdr:to>
      <xdr:col>19</xdr:col>
      <xdr:colOff>336626</xdr:colOff>
      <xdr:row>58</xdr:row>
      <xdr:rowOff>45903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84EED-570D-7355-292C-96BBB30C0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635000</xdr:colOff>
      <xdr:row>57</xdr:row>
      <xdr:rowOff>123472</xdr:rowOff>
    </xdr:from>
    <xdr:to>
      <xdr:col>13</xdr:col>
      <xdr:colOff>39125</xdr:colOff>
      <xdr:row>75</xdr:row>
      <xdr:rowOff>97014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A4F575-AB29-4437-91B0-1E9ABD70A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486272</xdr:colOff>
      <xdr:row>57</xdr:row>
      <xdr:rowOff>69451</xdr:rowOff>
    </xdr:from>
    <xdr:to>
      <xdr:col>9</xdr:col>
      <xdr:colOff>511527</xdr:colOff>
      <xdr:row>75</xdr:row>
      <xdr:rowOff>97015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7A2A76-D4FF-4F1F-A781-109236DF5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15393</xdr:colOff>
      <xdr:row>17</xdr:row>
      <xdr:rowOff>106219</xdr:rowOff>
    </xdr:from>
    <xdr:to>
      <xdr:col>19</xdr:col>
      <xdr:colOff>285749</xdr:colOff>
      <xdr:row>34</xdr:row>
      <xdr:rowOff>101602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80B7D2F-42A9-237F-2C3C-A6FC42535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59</xdr:row>
      <xdr:rowOff>98425</xdr:rowOff>
    </xdr:from>
    <xdr:to>
      <xdr:col>9</xdr:col>
      <xdr:colOff>120952</xdr:colOff>
      <xdr:row>76</xdr:row>
      <xdr:rowOff>34925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503469-6370-DB50-A0B3-951C2145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753533</xdr:colOff>
      <xdr:row>59</xdr:row>
      <xdr:rowOff>120952</xdr:rowOff>
    </xdr:from>
    <xdr:to>
      <xdr:col>13</xdr:col>
      <xdr:colOff>695477</xdr:colOff>
      <xdr:row>76</xdr:row>
      <xdr:rowOff>49288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56F5B6-ED12-4FD8-AE96-E07470D2C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349250</xdr:colOff>
      <xdr:row>18</xdr:row>
      <xdr:rowOff>79828</xdr:rowOff>
    </xdr:from>
    <xdr:to>
      <xdr:col>18</xdr:col>
      <xdr:colOff>675821</xdr:colOff>
      <xdr:row>35</xdr:row>
      <xdr:rowOff>47171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DE979E-64B3-82BE-7213-C913EF529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253817</xdr:colOff>
      <xdr:row>348</xdr:row>
      <xdr:rowOff>34819</xdr:rowOff>
    </xdr:from>
    <xdr:to>
      <xdr:col>18</xdr:col>
      <xdr:colOff>68998</xdr:colOff>
      <xdr:row>360</xdr:row>
      <xdr:rowOff>131380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52945E-7F7E-3AA6-B4FF-405C3F8B0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407228</xdr:colOff>
      <xdr:row>421</xdr:row>
      <xdr:rowOff>136525</xdr:rowOff>
    </xdr:from>
    <xdr:to>
      <xdr:col>6</xdr:col>
      <xdr:colOff>414131</xdr:colOff>
      <xdr:row>438</xdr:row>
      <xdr:rowOff>63638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967B4AA-D0B7-4BDD-5C22-AFFF74A2E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89728</xdr:colOff>
      <xdr:row>420</xdr:row>
      <xdr:rowOff>75922</xdr:rowOff>
    </xdr:from>
    <xdr:to>
      <xdr:col>13</xdr:col>
      <xdr:colOff>446570</xdr:colOff>
      <xdr:row>436</xdr:row>
      <xdr:rowOff>139561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7A42763-5CA3-BF2B-C396-52EDEDCFA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59069</xdr:colOff>
      <xdr:row>242</xdr:row>
      <xdr:rowOff>140291</xdr:rowOff>
    </xdr:from>
    <xdr:to>
      <xdr:col>5</xdr:col>
      <xdr:colOff>576514</xdr:colOff>
      <xdr:row>259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CE9E62-7D8E-42B1-33DE-B17BB4EAC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43122</xdr:colOff>
      <xdr:row>243</xdr:row>
      <xdr:rowOff>56193</xdr:rowOff>
    </xdr:from>
    <xdr:to>
      <xdr:col>12</xdr:col>
      <xdr:colOff>51799</xdr:colOff>
      <xdr:row>260</xdr:row>
      <xdr:rowOff>15192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E23ACA-D707-5F54-6650-25104F468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668988</xdr:colOff>
      <xdr:row>183</xdr:row>
      <xdr:rowOff>100445</xdr:rowOff>
    </xdr:from>
    <xdr:to>
      <xdr:col>18</xdr:col>
      <xdr:colOff>431776</xdr:colOff>
      <xdr:row>204</xdr:row>
      <xdr:rowOff>115454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07044-AD73-6C58-A7AD-9462CE805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56764</xdr:colOff>
      <xdr:row>18</xdr:row>
      <xdr:rowOff>71582</xdr:rowOff>
    </xdr:from>
    <xdr:to>
      <xdr:col>14</xdr:col>
      <xdr:colOff>164522</xdr:colOff>
      <xdr:row>35</xdr:row>
      <xdr:rowOff>34251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3FBE3D-2E9F-0896-9F06-88776EDF1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962601</xdr:colOff>
      <xdr:row>0</xdr:row>
      <xdr:rowOff>13856</xdr:rowOff>
    </xdr:from>
    <xdr:ext cx="2120901" cy="533400"/>
    <xdr:pic>
      <xdr:nvPicPr>
        <xdr:cNvPr id="2" name="image3.png">
          <a:extLst>
            <a:ext uri="{FF2B5EF4-FFF2-40B4-BE49-F238E27FC236}">
              <a16:creationId xmlns:a16="http://schemas.microsoft.com/office/drawing/2014/main" id="{F2C73BBF-EE42-466A-AE42-8757D675295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7961" t="22006" r="16057" b="14256"/>
        <a:stretch/>
      </xdr:blipFill>
      <xdr:spPr>
        <a:xfrm>
          <a:off x="2701635" y="13856"/>
          <a:ext cx="2120901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91208</xdr:rowOff>
    </xdr:from>
    <xdr:ext cx="3132858" cy="2160155"/>
    <xdr:pic>
      <xdr:nvPicPr>
        <xdr:cNvPr id="3" name="image2.png">
          <a:extLst>
            <a:ext uri="{FF2B5EF4-FFF2-40B4-BE49-F238E27FC236}">
              <a16:creationId xmlns:a16="http://schemas.microsoft.com/office/drawing/2014/main" id="{F99ABF68-3B49-413D-B34F-1831DDB5A2A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3808844"/>
          <a:ext cx="3132858" cy="216015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49645</xdr:colOff>
      <xdr:row>37</xdr:row>
      <xdr:rowOff>143741</xdr:rowOff>
    </xdr:from>
    <xdr:ext cx="2787649" cy="488950"/>
    <xdr:pic>
      <xdr:nvPicPr>
        <xdr:cNvPr id="4" name="image1.png">
          <a:extLst>
            <a:ext uri="{FF2B5EF4-FFF2-40B4-BE49-F238E27FC236}">
              <a16:creationId xmlns:a16="http://schemas.microsoft.com/office/drawing/2014/main" id="{A5AF5E59-3AC1-450C-BD6C-EBA129734C7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645" y="6124286"/>
          <a:ext cx="2787649" cy="488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361951</xdr:colOff>
      <xdr:row>25</xdr:row>
      <xdr:rowOff>158750</xdr:rowOff>
    </xdr:from>
    <xdr:ext cx="3308350" cy="1644650"/>
    <xdr:pic>
      <xdr:nvPicPr>
        <xdr:cNvPr id="5" name="image4.png">
          <a:extLst>
            <a:ext uri="{FF2B5EF4-FFF2-40B4-BE49-F238E27FC236}">
              <a16:creationId xmlns:a16="http://schemas.microsoft.com/office/drawing/2014/main" id="{B82C6B75-F103-4B3D-89D9-BF1E3D0DDA6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75001" y="4286250"/>
          <a:ext cx="3308350" cy="1644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37</xdr:row>
      <xdr:rowOff>12700</xdr:rowOff>
    </xdr:from>
    <xdr:ext cx="2854325" cy="492125"/>
    <xdr:pic>
      <xdr:nvPicPr>
        <xdr:cNvPr id="6" name="image5.png">
          <a:extLst>
            <a:ext uri="{FF2B5EF4-FFF2-40B4-BE49-F238E27FC236}">
              <a16:creationId xmlns:a16="http://schemas.microsoft.com/office/drawing/2014/main" id="{FB740E73-643B-4A44-AE7B-AD944307183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46450" y="6121400"/>
          <a:ext cx="2854325" cy="492125"/>
        </a:xfrm>
        <a:prstGeom prst="rect">
          <a:avLst/>
        </a:prstGeom>
        <a:noFill/>
      </xdr:spPr>
    </xdr:pic>
    <xdr:clientData fLocksWithSheet="0"/>
  </xdr:oneCellAnchor>
  <xdr:twoCellAnchor>
    <xdr:from>
      <xdr:col>9</xdr:col>
      <xdr:colOff>324326</xdr:colOff>
      <xdr:row>1</xdr:row>
      <xdr:rowOff>9465</xdr:rowOff>
    </xdr:from>
    <xdr:to>
      <xdr:col>18</xdr:col>
      <xdr:colOff>246993</xdr:colOff>
      <xdr:row>26</xdr:row>
      <xdr:rowOff>164855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BFC3000-A614-98EE-9CA5-EFB781A37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196849</xdr:colOff>
      <xdr:row>1</xdr:row>
      <xdr:rowOff>12701</xdr:rowOff>
    </xdr:from>
    <xdr:ext cx="2120901" cy="533400"/>
    <xdr:pic>
      <xdr:nvPicPr>
        <xdr:cNvPr id="2" name="image3.png">
          <a:extLst>
            <a:ext uri="{FF2B5EF4-FFF2-40B4-BE49-F238E27FC236}">
              <a16:creationId xmlns:a16="http://schemas.microsoft.com/office/drawing/2014/main" id="{3BC8F80D-9FF0-4761-9F2A-6557DD6299D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7961" t="22006" r="16057" b="14256"/>
        <a:stretch/>
      </xdr:blipFill>
      <xdr:spPr>
        <a:xfrm>
          <a:off x="5016499" y="177801"/>
          <a:ext cx="2120901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19051</xdr:colOff>
      <xdr:row>25</xdr:row>
      <xdr:rowOff>114300</xdr:rowOff>
    </xdr:from>
    <xdr:ext cx="2781300" cy="1695450"/>
    <xdr:pic>
      <xdr:nvPicPr>
        <xdr:cNvPr id="3" name="image2.png">
          <a:extLst>
            <a:ext uri="{FF2B5EF4-FFF2-40B4-BE49-F238E27FC236}">
              <a16:creationId xmlns:a16="http://schemas.microsoft.com/office/drawing/2014/main" id="{23E54B01-0809-42A8-A1FD-3B77ADBBF5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1" y="4241800"/>
          <a:ext cx="2781300" cy="1695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165100</xdr:colOff>
      <xdr:row>36</xdr:row>
      <xdr:rowOff>120650</xdr:rowOff>
    </xdr:from>
    <xdr:ext cx="2787649" cy="488950"/>
    <xdr:pic>
      <xdr:nvPicPr>
        <xdr:cNvPr id="4" name="image1.png">
          <a:extLst>
            <a:ext uri="{FF2B5EF4-FFF2-40B4-BE49-F238E27FC236}">
              <a16:creationId xmlns:a16="http://schemas.microsoft.com/office/drawing/2014/main" id="{A4F53837-D49F-4451-819E-E02ACF39DE8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5100" y="6064250"/>
          <a:ext cx="2787649" cy="488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361951</xdr:colOff>
      <xdr:row>25</xdr:row>
      <xdr:rowOff>158750</xdr:rowOff>
    </xdr:from>
    <xdr:ext cx="3308350" cy="1644650"/>
    <xdr:pic>
      <xdr:nvPicPr>
        <xdr:cNvPr id="5" name="image4.png">
          <a:extLst>
            <a:ext uri="{FF2B5EF4-FFF2-40B4-BE49-F238E27FC236}">
              <a16:creationId xmlns:a16="http://schemas.microsoft.com/office/drawing/2014/main" id="{470E94D9-864F-4403-90C6-881E626EFC4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75001" y="4286250"/>
          <a:ext cx="3308350" cy="1644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37</xdr:row>
      <xdr:rowOff>12700</xdr:rowOff>
    </xdr:from>
    <xdr:ext cx="2854325" cy="492125"/>
    <xdr:pic>
      <xdr:nvPicPr>
        <xdr:cNvPr id="6" name="image5.png">
          <a:extLst>
            <a:ext uri="{FF2B5EF4-FFF2-40B4-BE49-F238E27FC236}">
              <a16:creationId xmlns:a16="http://schemas.microsoft.com/office/drawing/2014/main" id="{1E8F80AA-8CD1-44D4-8C37-30388B9B222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46450" y="6121400"/>
          <a:ext cx="2854325" cy="492125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288192</xdr:colOff>
      <xdr:row>5</xdr:row>
      <xdr:rowOff>40051</xdr:rowOff>
    </xdr:from>
    <xdr:to>
      <xdr:col>20</xdr:col>
      <xdr:colOff>9769</xdr:colOff>
      <xdr:row>30</xdr:row>
      <xdr:rowOff>39076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36F6189-9ABD-68DA-30C5-08E805E6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0.10478</cdr:x>
      <cdr:y>0.53363</cdr:y>
    </cdr:from>
    <cdr:to>
      <cdr:x>0.57196</cdr:x>
      <cdr:y>0.53835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B41EE6A8-EA34-4542-465E-5E02CFDCDB4C}"/>
            </a:ext>
          </a:extLst>
        </cdr:cNvPr>
        <cdr:cNvCxnSpPr/>
      </cdr:nvCxnSpPr>
      <cdr:spPr>
        <a:xfrm xmlns:a="http://schemas.openxmlformats.org/drawingml/2006/main" flipV="1">
          <a:off x="716238" y="2217727"/>
          <a:ext cx="3193626" cy="1963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0.56852</cdr:x>
      <cdr:y>0.53787</cdr:y>
    </cdr:from>
    <cdr:to>
      <cdr:x>0.57368</cdr:x>
      <cdr:y>0.8661</cdr:y>
    </cdr:to>
    <cdr:cxnSp macro="">
      <cdr:nvCxnSpPr>
        <cdr:cNvPr id="8" name="Conector recto 7">
          <a:extLst xmlns:a="http://schemas.openxmlformats.org/drawingml/2006/main">
            <a:ext uri="{FF2B5EF4-FFF2-40B4-BE49-F238E27FC236}">
              <a16:creationId xmlns:a16="http://schemas.microsoft.com/office/drawing/2014/main" id="{07324342-A7B7-F585-D620-1664EC61ABEC}"/>
            </a:ext>
          </a:extLst>
        </cdr:cNvPr>
        <cdr:cNvCxnSpPr/>
      </cdr:nvCxnSpPr>
      <cdr:spPr>
        <a:xfrm xmlns:a="http://schemas.openxmlformats.org/drawingml/2006/main" flipH="1">
          <a:off x="3886345" y="2235366"/>
          <a:ext cx="35278" cy="136407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628649</xdr:colOff>
      <xdr:row>0</xdr:row>
      <xdr:rowOff>57151</xdr:rowOff>
    </xdr:from>
    <xdr:ext cx="2120901" cy="533400"/>
    <xdr:pic>
      <xdr:nvPicPr>
        <xdr:cNvPr id="2" name="image3.png">
          <a:extLst>
            <a:ext uri="{FF2B5EF4-FFF2-40B4-BE49-F238E27FC236}">
              <a16:creationId xmlns:a16="http://schemas.microsoft.com/office/drawing/2014/main" id="{E5BC8053-D8BA-4CBF-8B2D-7CC5D5134C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7961" t="22006" r="16057" b="14256"/>
        <a:stretch/>
      </xdr:blipFill>
      <xdr:spPr>
        <a:xfrm>
          <a:off x="5587999" y="57151"/>
          <a:ext cx="2120901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19051</xdr:colOff>
      <xdr:row>24</xdr:row>
      <xdr:rowOff>114300</xdr:rowOff>
    </xdr:from>
    <xdr:ext cx="2781300" cy="1695450"/>
    <xdr:pic>
      <xdr:nvPicPr>
        <xdr:cNvPr id="3" name="image2.png">
          <a:extLst>
            <a:ext uri="{FF2B5EF4-FFF2-40B4-BE49-F238E27FC236}">
              <a16:creationId xmlns:a16="http://schemas.microsoft.com/office/drawing/2014/main" id="{ED768357-B573-4EFB-BB1E-A3D8F501A68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1" y="4241800"/>
          <a:ext cx="2781300" cy="1695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165100</xdr:colOff>
      <xdr:row>35</xdr:row>
      <xdr:rowOff>120650</xdr:rowOff>
    </xdr:from>
    <xdr:ext cx="2787649" cy="488950"/>
    <xdr:pic>
      <xdr:nvPicPr>
        <xdr:cNvPr id="4" name="image1.png">
          <a:extLst>
            <a:ext uri="{FF2B5EF4-FFF2-40B4-BE49-F238E27FC236}">
              <a16:creationId xmlns:a16="http://schemas.microsoft.com/office/drawing/2014/main" id="{0D68AF5F-4063-45A1-AE8E-849A0A88431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5100" y="6064250"/>
          <a:ext cx="2787649" cy="488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361951</xdr:colOff>
      <xdr:row>24</xdr:row>
      <xdr:rowOff>158750</xdr:rowOff>
    </xdr:from>
    <xdr:ext cx="3308350" cy="1644650"/>
    <xdr:pic>
      <xdr:nvPicPr>
        <xdr:cNvPr id="5" name="image4.png">
          <a:extLst>
            <a:ext uri="{FF2B5EF4-FFF2-40B4-BE49-F238E27FC236}">
              <a16:creationId xmlns:a16="http://schemas.microsoft.com/office/drawing/2014/main" id="{AD624C8F-AE84-47EC-9FE8-7539DAA9D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75001" y="4286250"/>
          <a:ext cx="3308350" cy="1644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36</xdr:row>
      <xdr:rowOff>12700</xdr:rowOff>
    </xdr:from>
    <xdr:ext cx="2854325" cy="492125"/>
    <xdr:pic>
      <xdr:nvPicPr>
        <xdr:cNvPr id="6" name="image5.png">
          <a:extLst>
            <a:ext uri="{FF2B5EF4-FFF2-40B4-BE49-F238E27FC236}">
              <a16:creationId xmlns:a16="http://schemas.microsoft.com/office/drawing/2014/main" id="{A0082595-573E-4751-9034-C8E8CEA5C3B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46450" y="6121400"/>
          <a:ext cx="2854325" cy="492125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425282</xdr:colOff>
      <xdr:row>1</xdr:row>
      <xdr:rowOff>103103</xdr:rowOff>
    </xdr:from>
    <xdr:to>
      <xdr:col>20</xdr:col>
      <xdr:colOff>326572</xdr:colOff>
      <xdr:row>30</xdr:row>
      <xdr:rowOff>27213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9F4E1FE-EB3B-A603-570C-B99B18DBE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165561</xdr:colOff>
      <xdr:row>17</xdr:row>
      <xdr:rowOff>72619</xdr:rowOff>
    </xdr:from>
    <xdr:to>
      <xdr:col>16</xdr:col>
      <xdr:colOff>63500</xdr:colOff>
      <xdr:row>17</xdr:row>
      <xdr:rowOff>99786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F183F401-968E-4B2A-EAA8-E9A125BED818}"/>
            </a:ext>
          </a:extLst>
        </xdr:cNvPr>
        <xdr:cNvCxnSpPr/>
      </xdr:nvCxnSpPr>
      <xdr:spPr>
        <a:xfrm>
          <a:off x="10561418" y="2848476"/>
          <a:ext cx="4143368" cy="2716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46691</xdr:colOff>
      <xdr:row>17</xdr:row>
      <xdr:rowOff>91706</xdr:rowOff>
    </xdr:from>
    <xdr:to>
      <xdr:col>16</xdr:col>
      <xdr:colOff>66325</xdr:colOff>
      <xdr:row>26</xdr:row>
      <xdr:rowOff>96495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BA05169-A04B-40DB-FC78-01BD8761D4E9}"/>
            </a:ext>
          </a:extLst>
        </xdr:cNvPr>
        <xdr:cNvCxnSpPr/>
      </xdr:nvCxnSpPr>
      <xdr:spPr>
        <a:xfrm flipH="1">
          <a:off x="14692157" y="2896289"/>
          <a:ext cx="19634" cy="14957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718235</xdr:colOff>
      <xdr:row>1</xdr:row>
      <xdr:rowOff>68307</xdr:rowOff>
    </xdr:from>
    <xdr:ext cx="2120901" cy="533400"/>
    <xdr:pic>
      <xdr:nvPicPr>
        <xdr:cNvPr id="2" name="image3.png">
          <a:extLst>
            <a:ext uri="{FF2B5EF4-FFF2-40B4-BE49-F238E27FC236}">
              <a16:creationId xmlns:a16="http://schemas.microsoft.com/office/drawing/2014/main" id="{1C763D7B-6057-46C3-8E19-64531C795E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7961" t="22006" r="16057" b="14256"/>
        <a:stretch/>
      </xdr:blipFill>
      <xdr:spPr>
        <a:xfrm>
          <a:off x="4828573" y="231348"/>
          <a:ext cx="2120901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79118</xdr:colOff>
      <xdr:row>25</xdr:row>
      <xdr:rowOff>105720</xdr:rowOff>
    </xdr:from>
    <xdr:ext cx="2781300" cy="1695450"/>
    <xdr:pic>
      <xdr:nvPicPr>
        <xdr:cNvPr id="3" name="image2.png">
          <a:extLst>
            <a:ext uri="{FF2B5EF4-FFF2-40B4-BE49-F238E27FC236}">
              <a16:creationId xmlns:a16="http://schemas.microsoft.com/office/drawing/2014/main" id="{4BB6B1E4-5AB0-4CF7-9ACA-5599D93542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118" y="4181734"/>
          <a:ext cx="2781300" cy="1695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165100</xdr:colOff>
      <xdr:row>36</xdr:row>
      <xdr:rowOff>120650</xdr:rowOff>
    </xdr:from>
    <xdr:ext cx="2787649" cy="488950"/>
    <xdr:pic>
      <xdr:nvPicPr>
        <xdr:cNvPr id="4" name="image1.png">
          <a:extLst>
            <a:ext uri="{FF2B5EF4-FFF2-40B4-BE49-F238E27FC236}">
              <a16:creationId xmlns:a16="http://schemas.microsoft.com/office/drawing/2014/main" id="{FDA965B9-1BA6-4DD5-8962-9CF899E3E8D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5100" y="6064250"/>
          <a:ext cx="2787649" cy="488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361951</xdr:colOff>
      <xdr:row>25</xdr:row>
      <xdr:rowOff>158750</xdr:rowOff>
    </xdr:from>
    <xdr:ext cx="3308350" cy="1644650"/>
    <xdr:pic>
      <xdr:nvPicPr>
        <xdr:cNvPr id="5" name="image4.png">
          <a:extLst>
            <a:ext uri="{FF2B5EF4-FFF2-40B4-BE49-F238E27FC236}">
              <a16:creationId xmlns:a16="http://schemas.microsoft.com/office/drawing/2014/main" id="{279841F7-165E-411D-A261-E5154720EF5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75001" y="4286250"/>
          <a:ext cx="3308350" cy="1644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37</xdr:row>
      <xdr:rowOff>12700</xdr:rowOff>
    </xdr:from>
    <xdr:ext cx="2854325" cy="492125"/>
    <xdr:pic>
      <xdr:nvPicPr>
        <xdr:cNvPr id="6" name="image5.png">
          <a:extLst>
            <a:ext uri="{FF2B5EF4-FFF2-40B4-BE49-F238E27FC236}">
              <a16:creationId xmlns:a16="http://schemas.microsoft.com/office/drawing/2014/main" id="{5FD2F4ED-1E0B-4296-AFDD-40FA9C2E743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46450" y="6121400"/>
          <a:ext cx="2854325" cy="49212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378426</xdr:colOff>
      <xdr:row>7</xdr:row>
      <xdr:rowOff>39988</xdr:rowOff>
    </xdr:from>
    <xdr:to>
      <xdr:col>17</xdr:col>
      <xdr:colOff>677047</xdr:colOff>
      <xdr:row>24</xdr:row>
      <xdr:rowOff>11499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2EDDC00-1F5C-6001-13C8-2DD3663FF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152400</xdr:rowOff>
    </xdr:from>
    <xdr:to>
      <xdr:col>9</xdr:col>
      <xdr:colOff>584200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1CAC5E-83F3-B2EC-F41A-AF1E9D7C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3150" y="152400"/>
          <a:ext cx="33718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241300</xdr:colOff>
      <xdr:row>22</xdr:row>
      <xdr:rowOff>107950</xdr:rowOff>
    </xdr:from>
    <xdr:to>
      <xdr:col>5</xdr:col>
      <xdr:colOff>95250</xdr:colOff>
      <xdr:row>36</xdr:row>
      <xdr:rowOff>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C34FE9-D61F-89AF-90C1-B7378AB16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CF8D91-D407-FFED-71DF-0540C165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5" name="image1.png">
          <a:extLst>
            <a:ext uri="{FF2B5EF4-FFF2-40B4-BE49-F238E27FC236}">
              <a16:creationId xmlns:a16="http://schemas.microsoft.com/office/drawing/2014/main" id="{F0DF442B-0A17-47FE-951D-E5B6CE600BD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112413</xdr:colOff>
      <xdr:row>6</xdr:row>
      <xdr:rowOff>31406</xdr:rowOff>
    </xdr:from>
    <xdr:to>
      <xdr:col>16</xdr:col>
      <xdr:colOff>411034</xdr:colOff>
      <xdr:row>23</xdr:row>
      <xdr:rowOff>2917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2ECBAD-8CDD-4FA0-57EB-A1F2D6320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1308100</xdr:colOff>
      <xdr:row>0</xdr:row>
      <xdr:rowOff>0</xdr:rowOff>
    </xdr:from>
    <xdr:to>
      <xdr:col>7</xdr:col>
      <xdr:colOff>368300</xdr:colOff>
      <xdr:row>3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11BD57-6DED-4417-83BF-760C1A8B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0"/>
          <a:ext cx="33718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977691-43FA-4F01-ABCD-8D1D4EDB7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B2C391EF-C213-4227-BFD4-033DC0AC65A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8AA86E-013A-4804-A8EA-C98A4687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697300</xdr:colOff>
      <xdr:row>3</xdr:row>
      <xdr:rowOff>107830</xdr:rowOff>
    </xdr:from>
    <xdr:to>
      <xdr:col>18</xdr:col>
      <xdr:colOff>119811</xdr:colOff>
      <xdr:row>22</xdr:row>
      <xdr:rowOff>59666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F1493C4-6DED-31CB-D3A7-4622F8394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933450</xdr:colOff>
      <xdr:row>0</xdr:row>
      <xdr:rowOff>0</xdr:rowOff>
    </xdr:from>
    <xdr:to>
      <xdr:col>8</xdr:col>
      <xdr:colOff>146122</xdr:colOff>
      <xdr:row>3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630239-F636-4AB2-B651-E1170483D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0"/>
          <a:ext cx="33718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4</xdr:col>
      <xdr:colOff>609600</xdr:colOff>
      <xdr:row>37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4A507-0E9B-4500-BDAE-7C6158D7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7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39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948674A6-BA84-4CCF-A006-6A8E91D8288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64452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44</xdr:row>
      <xdr:rowOff>0</xdr:rowOff>
    </xdr:from>
    <xdr:to>
      <xdr:col>3</xdr:col>
      <xdr:colOff>584200</xdr:colOff>
      <xdr:row>47</xdr:row>
      <xdr:rowOff>69850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B19A1D-7B9D-4EAB-ABB4-F715D2397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72707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293242</xdr:colOff>
      <xdr:row>3</xdr:row>
      <xdr:rowOff>80339</xdr:rowOff>
    </xdr:from>
    <xdr:to>
      <xdr:col>15</xdr:col>
      <xdr:colOff>584343</xdr:colOff>
      <xdr:row>20</xdr:row>
      <xdr:rowOff>26685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8BA5E04-650B-E318-B040-D6BFBE605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1</xdr:row>
      <xdr:rowOff>57150</xdr:rowOff>
    </xdr:from>
    <xdr:to>
      <xdr:col>6</xdr:col>
      <xdr:colOff>323850</xdr:colOff>
      <xdr:row>4</xdr:row>
      <xdr:rowOff>146050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5FD661-192F-42BC-AE22-62131710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222250"/>
          <a:ext cx="33718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F14D4-38F8-4D1D-B20C-DAA69E01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8085EF-A1D5-4C14-8330-2250AD11A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5" name="image1.png">
          <a:extLst>
            <a:ext uri="{FF2B5EF4-FFF2-40B4-BE49-F238E27FC236}">
              <a16:creationId xmlns:a16="http://schemas.microsoft.com/office/drawing/2014/main" id="{350B14DC-694F-4FC7-AB7A-96298607355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>
    <xdr:from>
      <xdr:col>9</xdr:col>
      <xdr:colOff>380065</xdr:colOff>
      <xdr:row>5</xdr:row>
      <xdr:rowOff>66489</xdr:rowOff>
    </xdr:from>
    <xdr:to>
      <xdr:col>15</xdr:col>
      <xdr:colOff>693830</xdr:colOff>
      <xdr:row>21</xdr:row>
      <xdr:rowOff>120277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416AA5F-968C-4E67-BEFB-C7B7F6C73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5E720A-EF42-4EBD-8B36-270F0A2FE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D99972-24F8-418F-9F1A-D7E8388D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5" name="image1.png">
          <a:extLst>
            <a:ext uri="{FF2B5EF4-FFF2-40B4-BE49-F238E27FC236}">
              <a16:creationId xmlns:a16="http://schemas.microsoft.com/office/drawing/2014/main" id="{7EE3C2A4-A9FD-4932-BB7B-757CE5541F4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97692</xdr:colOff>
      <xdr:row>0</xdr:row>
      <xdr:rowOff>138398</xdr:rowOff>
    </xdr:from>
    <xdr:to>
      <xdr:col>8</xdr:col>
      <xdr:colOff>392723</xdr:colOff>
      <xdr:row>6</xdr:row>
      <xdr:rowOff>115277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7C13B9-3E15-B3E2-2DC2-3A2131E6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7051" y="138398"/>
          <a:ext cx="3176954" cy="953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131884</xdr:colOff>
      <xdr:row>3</xdr:row>
      <xdr:rowOff>93784</xdr:rowOff>
    </xdr:from>
    <xdr:to>
      <xdr:col>16</xdr:col>
      <xdr:colOff>454269</xdr:colOff>
      <xdr:row>20</xdr:row>
      <xdr:rowOff>69036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FE2F24-58E0-F208-66A9-DC896313B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224651-ECDB-429E-BD21-596B033C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74E59241-9C68-4E06-A636-FFD8F99D25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FFE5F4-668C-4905-AAA2-2B8695D9B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5</xdr:col>
      <xdr:colOff>571500</xdr:colOff>
      <xdr:row>7</xdr:row>
      <xdr:rowOff>139700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B1F2EFE-45F6-0785-42E0-249C37B97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0650" y="330200"/>
          <a:ext cx="31750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276680</xdr:colOff>
      <xdr:row>7</xdr:row>
      <xdr:rowOff>40142</xdr:rowOff>
    </xdr:from>
    <xdr:to>
      <xdr:col>16</xdr:col>
      <xdr:colOff>562430</xdr:colOff>
      <xdr:row>23</xdr:row>
      <xdr:rowOff>61913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20EB3D-CFD5-D048-F84B-99D784FB7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4</xdr:col>
      <xdr:colOff>609600</xdr:colOff>
      <xdr:row>37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BEB2A2-9539-4BD0-A3AB-B13CCD800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7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39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DC1F17C8-E633-4FC8-935A-86FF025DE9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4452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44</xdr:row>
      <xdr:rowOff>0</xdr:rowOff>
    </xdr:from>
    <xdr:to>
      <xdr:col>3</xdr:col>
      <xdr:colOff>584200</xdr:colOff>
      <xdr:row>47</xdr:row>
      <xdr:rowOff>69850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AB9641-9B3D-4ADD-BDE0-814BB6FF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72707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450850</xdr:colOff>
      <xdr:row>7</xdr:row>
      <xdr:rowOff>139700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CA7062-B2B8-C56B-1974-D79243CDC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050" y="330200"/>
          <a:ext cx="31750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21683</xdr:colOff>
      <xdr:row>3</xdr:row>
      <xdr:rowOff>161693</xdr:rowOff>
    </xdr:from>
    <xdr:to>
      <xdr:col>18</xdr:col>
      <xdr:colOff>396875</xdr:colOff>
      <xdr:row>30</xdr:row>
      <xdr:rowOff>119063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46F555-2AEB-76B9-15B8-4789F7004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7A2837-CEFC-45B6-93A5-B6A7A8575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747904-1F72-41E5-9D4A-D9D0E71E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5" name="image1.png">
          <a:extLst>
            <a:ext uri="{FF2B5EF4-FFF2-40B4-BE49-F238E27FC236}">
              <a16:creationId xmlns:a16="http://schemas.microsoft.com/office/drawing/2014/main" id="{5FFEE905-3BA4-4719-83F7-894F5D281AC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1041400</xdr:colOff>
      <xdr:row>1</xdr:row>
      <xdr:rowOff>12700</xdr:rowOff>
    </xdr:from>
    <xdr:to>
      <xdr:col>5</xdr:col>
      <xdr:colOff>615950</xdr:colOff>
      <xdr:row>6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A678B2-381B-5A06-D6D0-D1EB229D6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0" y="177800"/>
          <a:ext cx="317500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516930</xdr:colOff>
      <xdr:row>5</xdr:row>
      <xdr:rowOff>111720</xdr:rowOff>
    </xdr:from>
    <xdr:to>
      <xdr:col>18</xdr:col>
      <xdr:colOff>88305</xdr:colOff>
      <xdr:row>21</xdr:row>
      <xdr:rowOff>156170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A32049-4BF3-B566-0571-F5566B6D7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47DAA3-56D8-4207-A2DF-7EE37834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58642-A218-4392-8CEE-3E907B52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0D36CCBA-E34F-4E5A-A576-1F38498182E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0</xdr:colOff>
      <xdr:row>1</xdr:row>
      <xdr:rowOff>0</xdr:rowOff>
    </xdr:from>
    <xdr:to>
      <xdr:col>6</xdr:col>
      <xdr:colOff>355600</xdr:colOff>
      <xdr:row>7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01D809E-FDB8-238B-C77E-DD2F4056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4950" y="165100"/>
          <a:ext cx="31623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230993</xdr:colOff>
      <xdr:row>6</xdr:row>
      <xdr:rowOff>91661</xdr:rowOff>
    </xdr:from>
    <xdr:to>
      <xdr:col>17</xdr:col>
      <xdr:colOff>551253</xdr:colOff>
      <xdr:row>23</xdr:row>
      <xdr:rowOff>18774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7B28A6-0D20-A82B-BAF0-8D561F9B2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A9B54D-7A37-4569-B285-B19869AF8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3" name="image1.png">
          <a:extLst>
            <a:ext uri="{FF2B5EF4-FFF2-40B4-BE49-F238E27FC236}">
              <a16:creationId xmlns:a16="http://schemas.microsoft.com/office/drawing/2014/main" id="{B632FFDA-0AA5-4274-83B5-C6728C2478A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DD0B59-3535-41FE-BFF2-B4D7BBF7A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1</xdr:row>
      <xdr:rowOff>31750</xdr:rowOff>
    </xdr:from>
    <xdr:to>
      <xdr:col>5</xdr:col>
      <xdr:colOff>584200</xdr:colOff>
      <xdr:row>7</xdr:row>
      <xdr:rowOff>146050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A52B4D-EF27-4D58-AAD5-BA3B290BD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050" y="196850"/>
          <a:ext cx="31623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699927</xdr:colOff>
      <xdr:row>5</xdr:row>
      <xdr:rowOff>158821</xdr:rowOff>
    </xdr:from>
    <xdr:to>
      <xdr:col>15</xdr:col>
      <xdr:colOff>277545</xdr:colOff>
      <xdr:row>22</xdr:row>
      <xdr:rowOff>112302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868486-8B3F-45AE-DE81-9A15ABCDD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D0C325-0E77-4FC4-8542-7C84DA08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11887-DE9F-44D5-9C49-F844BA790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493D3D86-7E52-4FA7-B9C8-5507B30F99B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171450</xdr:colOff>
      <xdr:row>0</xdr:row>
      <xdr:rowOff>0</xdr:rowOff>
    </xdr:from>
    <xdr:to>
      <xdr:col>6</xdr:col>
      <xdr:colOff>527050</xdr:colOff>
      <xdr:row>6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5DA41B-A1E5-49BB-A2BF-E3B5AD71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6400" y="0"/>
          <a:ext cx="31623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38100</xdr:colOff>
      <xdr:row>3</xdr:row>
      <xdr:rowOff>123825</xdr:rowOff>
    </xdr:from>
    <xdr:to>
      <xdr:col>15</xdr:col>
      <xdr:colOff>342900</xdr:colOff>
      <xdr:row>20</xdr:row>
      <xdr:rowOff>53975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80ACDF-F44E-450C-4960-D5C76CCE8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0E11AA-3CD5-42AC-AAF2-0DB1899A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43F02-E9F0-46F7-A664-D2385D7A6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00D18EF3-9DB6-4BEE-89E5-A8C311708A4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400050</xdr:colOff>
      <xdr:row>0</xdr:row>
      <xdr:rowOff>0</xdr:rowOff>
    </xdr:from>
    <xdr:to>
      <xdr:col>5</xdr:col>
      <xdr:colOff>1016000</xdr:colOff>
      <xdr:row>6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0AB1F7-C368-4109-8857-E831DA26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0" y="0"/>
          <a:ext cx="31623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172479</xdr:colOff>
      <xdr:row>5</xdr:row>
      <xdr:rowOff>65731</xdr:rowOff>
    </xdr:from>
    <xdr:to>
      <xdr:col>15</xdr:col>
      <xdr:colOff>471101</xdr:colOff>
      <xdr:row>22</xdr:row>
      <xdr:rowOff>37242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F3DC5A-15FF-85F3-91A5-ED0B7908A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4</xdr:col>
      <xdr:colOff>806450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A3CC78-EBD9-4769-B3FE-4881F02A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52C511-D9EA-4BC3-BAE9-15C6B43D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6E3B3D5B-2D9A-4F04-9FB1-A4A43E1EC81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527050</xdr:colOff>
      <xdr:row>0</xdr:row>
      <xdr:rowOff>0</xdr:rowOff>
    </xdr:from>
    <xdr:to>
      <xdr:col>6</xdr:col>
      <xdr:colOff>152400</xdr:colOff>
      <xdr:row>5</xdr:row>
      <xdr:rowOff>50800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66832F-47A8-E451-A87D-CC8602C21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0"/>
          <a:ext cx="2527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81731</xdr:colOff>
      <xdr:row>4</xdr:row>
      <xdr:rowOff>99449</xdr:rowOff>
    </xdr:from>
    <xdr:to>
      <xdr:col>17</xdr:col>
      <xdr:colOff>396568</xdr:colOff>
      <xdr:row>21</xdr:row>
      <xdr:rowOff>35949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6C5032-4D74-E937-DA56-D70F7753E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2F96C9-E5CF-49AA-9EBC-BA55F139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3" name="image1.png">
          <a:extLst>
            <a:ext uri="{FF2B5EF4-FFF2-40B4-BE49-F238E27FC236}">
              <a16:creationId xmlns:a16="http://schemas.microsoft.com/office/drawing/2014/main" id="{E4CBE80F-9460-43EF-B005-6AD4EC0DEAA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F1EB4A-33CF-47C1-B283-02BF8758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1149350</xdr:colOff>
      <xdr:row>0</xdr:row>
      <xdr:rowOff>50800</xdr:rowOff>
    </xdr:from>
    <xdr:to>
      <xdr:col>4</xdr:col>
      <xdr:colOff>812800</xdr:colOff>
      <xdr:row>5</xdr:row>
      <xdr:rowOff>101600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F5CD50-9E49-4710-B442-DBA1F5769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50800"/>
          <a:ext cx="2527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547687</xdr:colOff>
      <xdr:row>6</xdr:row>
      <xdr:rowOff>41275</xdr:rowOff>
    </xdr:from>
    <xdr:to>
      <xdr:col>16</xdr:col>
      <xdr:colOff>119062</xdr:colOff>
      <xdr:row>22</xdr:row>
      <xdr:rowOff>117475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450076-5E68-B245-0B7C-E63AF98AB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1A80AF-1400-4EA5-A74E-ADFBFABA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65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9A945C-DAE0-4817-BBA3-DAA4853D8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96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C0A55778-B016-483E-8CB6-56AA8422549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5315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234950</xdr:colOff>
      <xdr:row>0</xdr:row>
      <xdr:rowOff>139700</xdr:rowOff>
    </xdr:from>
    <xdr:to>
      <xdr:col>5</xdr:col>
      <xdr:colOff>666750</xdr:colOff>
      <xdr:row>6</xdr:row>
      <xdr:rowOff>25400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2E7944-E4ED-4C2A-B86C-B243F147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39700"/>
          <a:ext cx="2527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69850</xdr:colOff>
      <xdr:row>4</xdr:row>
      <xdr:rowOff>66675</xdr:rowOff>
    </xdr:from>
    <xdr:to>
      <xdr:col>15</xdr:col>
      <xdr:colOff>374650</xdr:colOff>
      <xdr:row>20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27BE70-03C9-0111-E1CE-AE419B765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A749DA-C165-4433-9C01-D95FCD16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13906A-B3C2-4C43-8510-9D059ACCA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5D726ED3-B022-4650-AE5E-D5C0B4ED18C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400050</xdr:colOff>
      <xdr:row>0</xdr:row>
      <xdr:rowOff>139700</xdr:rowOff>
    </xdr:from>
    <xdr:to>
      <xdr:col>5</xdr:col>
      <xdr:colOff>381000</xdr:colOff>
      <xdr:row>6</xdr:row>
      <xdr:rowOff>25400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CA7AAA3-E209-4A95-B7ED-51BB8B0BC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0" y="139700"/>
          <a:ext cx="2527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664678</xdr:colOff>
      <xdr:row>6</xdr:row>
      <xdr:rowOff>150329</xdr:rowOff>
    </xdr:from>
    <xdr:to>
      <xdr:col>15</xdr:col>
      <xdr:colOff>260211</xdr:colOff>
      <xdr:row>23</xdr:row>
      <xdr:rowOff>77442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9FCBC8-3CE9-5651-DF1A-D3F550869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AF20B8-8694-4B39-A32B-7AE62789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29E4E-576E-4360-A757-E814F4C8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2A25507B-7CE8-45B7-A09A-864286FA53C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58738</xdr:colOff>
      <xdr:row>1</xdr:row>
      <xdr:rowOff>134938</xdr:rowOff>
    </xdr:from>
    <xdr:to>
      <xdr:col>7</xdr:col>
      <xdr:colOff>646113</xdr:colOff>
      <xdr:row>5</xdr:row>
      <xdr:rowOff>7938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1DEC71-ED8E-5C60-2347-A0BA67B6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6" y="301626"/>
          <a:ext cx="20161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204788</xdr:colOff>
      <xdr:row>2</xdr:row>
      <xdr:rowOff>80963</xdr:rowOff>
    </xdr:from>
    <xdr:to>
      <xdr:col>16</xdr:col>
      <xdr:colOff>509588</xdr:colOff>
      <xdr:row>19</xdr:row>
      <xdr:rowOff>17463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9E447B5-015B-308C-228D-051209A4F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5F636C-BAFD-47CD-9FE1-BACD11B9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3" name="image1.png">
          <a:extLst>
            <a:ext uri="{FF2B5EF4-FFF2-40B4-BE49-F238E27FC236}">
              <a16:creationId xmlns:a16="http://schemas.microsoft.com/office/drawing/2014/main" id="{579A085A-1F86-488B-B0D6-0F4C5533B60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251D58-B814-4804-9EAA-219E86385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1230313</xdr:colOff>
      <xdr:row>0</xdr:row>
      <xdr:rowOff>126999</xdr:rowOff>
    </xdr:from>
    <xdr:to>
      <xdr:col>5</xdr:col>
      <xdr:colOff>639763</xdr:colOff>
      <xdr:row>3</xdr:row>
      <xdr:rowOff>165099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70968B-63F7-473D-87A8-552B87BA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7313" y="126999"/>
          <a:ext cx="2012950" cy="538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452438</xdr:colOff>
      <xdr:row>4</xdr:row>
      <xdr:rowOff>1588</xdr:rowOff>
    </xdr:from>
    <xdr:to>
      <xdr:col>16</xdr:col>
      <xdr:colOff>23813</xdr:colOff>
      <xdr:row>20</xdr:row>
      <xdr:rowOff>77788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EC146BB-13DF-0D31-8B66-A10FA5130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4</xdr:col>
      <xdr:colOff>806450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24C79D-5814-4164-89CF-53A8521C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65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574F50-0975-4DDF-B48F-9B6B5D06D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96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B07E9FCC-47E0-4966-8AEB-B462000DC27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5315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336550</xdr:colOff>
      <xdr:row>1</xdr:row>
      <xdr:rowOff>133350</xdr:rowOff>
    </xdr:from>
    <xdr:to>
      <xdr:col>6</xdr:col>
      <xdr:colOff>266700</xdr:colOff>
      <xdr:row>5</xdr:row>
      <xdr:rowOff>6350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6289793-27AF-4371-B694-48F378BE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298450"/>
          <a:ext cx="20129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221315</xdr:colOff>
      <xdr:row>6</xdr:row>
      <xdr:rowOff>47813</xdr:rowOff>
    </xdr:from>
    <xdr:to>
      <xdr:col>16</xdr:col>
      <xdr:colOff>535080</xdr:colOff>
      <xdr:row>22</xdr:row>
      <xdr:rowOff>101601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37D8634-28AF-3CDD-F68C-440F1C579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EAA1B1-10D9-4EAC-A03D-42EE5C51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C572BF-8110-4113-BC25-35BDD1A5C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C6297146-32C7-4C14-964A-121DDDA85A6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7032FF-AEA2-4BBD-A324-2ADB6D9A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5BF1C5C-B548-43A9-9CFC-48C27ABC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8" name="image1.png">
          <a:extLst>
            <a:ext uri="{FF2B5EF4-FFF2-40B4-BE49-F238E27FC236}">
              <a16:creationId xmlns:a16="http://schemas.microsoft.com/office/drawing/2014/main" id="{626D561F-0282-45D3-BA5E-6B9887CBC58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552450</xdr:colOff>
      <xdr:row>0</xdr:row>
      <xdr:rowOff>158750</xdr:rowOff>
    </xdr:from>
    <xdr:to>
      <xdr:col>6</xdr:col>
      <xdr:colOff>908806</xdr:colOff>
      <xdr:row>5</xdr:row>
      <xdr:rowOff>31750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055CCBC-0191-42AA-9D39-AA7544F85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158750"/>
          <a:ext cx="2636006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74363</xdr:colOff>
      <xdr:row>4</xdr:row>
      <xdr:rowOff>19551</xdr:rowOff>
    </xdr:from>
    <xdr:to>
      <xdr:col>16</xdr:col>
      <xdr:colOff>385178</xdr:colOff>
      <xdr:row>20</xdr:row>
      <xdr:rowOff>89067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6AE58BB-B79D-0003-3029-F21F8C107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22</xdr:row>
      <xdr:rowOff>107950</xdr:rowOff>
    </xdr:from>
    <xdr:to>
      <xdr:col>5</xdr:col>
      <xdr:colOff>50800</xdr:colOff>
      <xdr:row>36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158FD9-B1E3-46F8-8E4D-BDF90281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7401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44</xdr:row>
      <xdr:rowOff>88900</xdr:rowOff>
    </xdr:from>
    <xdr:to>
      <xdr:col>3</xdr:col>
      <xdr:colOff>469900</xdr:colOff>
      <xdr:row>47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A6EE2D-48F1-4F5D-9F81-D6864849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73533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654050</xdr:colOff>
      <xdr:row>37</xdr:row>
      <xdr:rowOff>38100</xdr:rowOff>
    </xdr:from>
    <xdr:ext cx="3790950" cy="1028700"/>
    <xdr:pic>
      <xdr:nvPicPr>
        <xdr:cNvPr id="4" name="image1.png">
          <a:extLst>
            <a:ext uri="{FF2B5EF4-FFF2-40B4-BE49-F238E27FC236}">
              <a16:creationId xmlns:a16="http://schemas.microsoft.com/office/drawing/2014/main" id="{F94A7B5B-E4CC-4F81-BD71-9D5AFC2E061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54050" y="6146800"/>
          <a:ext cx="3790950" cy="1028700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131884</xdr:colOff>
      <xdr:row>3</xdr:row>
      <xdr:rowOff>93784</xdr:rowOff>
    </xdr:from>
    <xdr:to>
      <xdr:col>16</xdr:col>
      <xdr:colOff>454269</xdr:colOff>
      <xdr:row>20</xdr:row>
      <xdr:rowOff>69036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435EBD-2478-44E3-8D19-35679DC52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1295400</xdr:colOff>
      <xdr:row>0</xdr:row>
      <xdr:rowOff>0</xdr:rowOff>
    </xdr:from>
    <xdr:to>
      <xdr:col>8</xdr:col>
      <xdr:colOff>424399</xdr:colOff>
      <xdr:row>5</xdr:row>
      <xdr:rowOff>100734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F528E4E0-17EB-4A1E-B5AF-D9D508DD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070350" y="0"/>
          <a:ext cx="3358099" cy="926234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63500</xdr:rowOff>
    </xdr:from>
    <xdr:to>
      <xdr:col>3</xdr:col>
      <xdr:colOff>749300</xdr:colOff>
      <xdr:row>38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3EEAD6-957B-4B76-88E8-528F6517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209550</xdr:colOff>
      <xdr:row>39</xdr:row>
      <xdr:rowOff>19050</xdr:rowOff>
    </xdr:from>
    <xdr:ext cx="4235450" cy="565150"/>
    <xdr:pic>
      <xdr:nvPicPr>
        <xdr:cNvPr id="3" name="image1.png">
          <a:extLst>
            <a:ext uri="{FF2B5EF4-FFF2-40B4-BE49-F238E27FC236}">
              <a16:creationId xmlns:a16="http://schemas.microsoft.com/office/drawing/2014/main" id="{5FCA9B47-57D6-404C-B0F4-397AEDD778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64579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1003300</xdr:colOff>
      <xdr:row>43</xdr:row>
      <xdr:rowOff>38100</xdr:rowOff>
    </xdr:from>
    <xdr:to>
      <xdr:col>2</xdr:col>
      <xdr:colOff>1066800</xdr:colOff>
      <xdr:row>46</xdr:row>
      <xdr:rowOff>107950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EF589-850A-4FFD-B4BA-FEF0238F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" y="713740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276680</xdr:colOff>
      <xdr:row>7</xdr:row>
      <xdr:rowOff>40142</xdr:rowOff>
    </xdr:from>
    <xdr:to>
      <xdr:col>16</xdr:col>
      <xdr:colOff>562430</xdr:colOff>
      <xdr:row>23</xdr:row>
      <xdr:rowOff>61913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8B0C44-29E4-4582-8F75-308AF23A7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82550</xdr:colOff>
      <xdr:row>1</xdr:row>
      <xdr:rowOff>82550</xdr:rowOff>
    </xdr:from>
    <xdr:to>
      <xdr:col>5</xdr:col>
      <xdr:colOff>837149</xdr:colOff>
      <xdr:row>7</xdr:row>
      <xdr:rowOff>18184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869166C2-75A3-4068-8812-7D59E19E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013200" y="247650"/>
          <a:ext cx="3358099" cy="926234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4</xdr:col>
      <xdr:colOff>609600</xdr:colOff>
      <xdr:row>37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315228-D730-41C5-843D-8541D0E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75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39</xdr:row>
      <xdr:rowOff>0</xdr:rowOff>
    </xdr:from>
    <xdr:ext cx="4235450" cy="565150"/>
    <xdr:pic>
      <xdr:nvPicPr>
        <xdr:cNvPr id="3" name="image1.png">
          <a:extLst>
            <a:ext uri="{FF2B5EF4-FFF2-40B4-BE49-F238E27FC236}">
              <a16:creationId xmlns:a16="http://schemas.microsoft.com/office/drawing/2014/main" id="{30FAB679-A1E1-4A0F-B319-B298E251FC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44525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44</xdr:row>
      <xdr:rowOff>0</xdr:rowOff>
    </xdr:from>
    <xdr:to>
      <xdr:col>3</xdr:col>
      <xdr:colOff>584200</xdr:colOff>
      <xdr:row>47</xdr:row>
      <xdr:rowOff>69850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6599AD-350D-4D77-B137-22371CE4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72707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21683</xdr:colOff>
      <xdr:row>3</xdr:row>
      <xdr:rowOff>161693</xdr:rowOff>
    </xdr:from>
    <xdr:to>
      <xdr:col>16</xdr:col>
      <xdr:colOff>319049</xdr:colOff>
      <xdr:row>20</xdr:row>
      <xdr:rowOff>132576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364885-564D-4C6B-BE15-1CD14F9DB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1123950</xdr:colOff>
      <xdr:row>2</xdr:row>
      <xdr:rowOff>38100</xdr:rowOff>
    </xdr:from>
    <xdr:to>
      <xdr:col>8</xdr:col>
      <xdr:colOff>335499</xdr:colOff>
      <xdr:row>7</xdr:row>
      <xdr:rowOff>138834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62F550A4-AC5F-4CA2-AC67-F3C065EA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3937000" y="368300"/>
          <a:ext cx="3358099" cy="926234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41</xdr:row>
      <xdr:rowOff>133350</xdr:rowOff>
    </xdr:from>
    <xdr:to>
      <xdr:col>3</xdr:col>
      <xdr:colOff>393700</xdr:colOff>
      <xdr:row>45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B9B75A-05DB-4579-984E-0039049D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902450"/>
          <a:ext cx="26860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330200</xdr:colOff>
      <xdr:row>34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DFBA3-613C-487D-B900-D727A583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4679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36</xdr:row>
      <xdr:rowOff>0</xdr:rowOff>
    </xdr:from>
    <xdr:ext cx="4235450" cy="565150"/>
    <xdr:pic>
      <xdr:nvPicPr>
        <xdr:cNvPr id="4" name="image1.png">
          <a:extLst>
            <a:ext uri="{FF2B5EF4-FFF2-40B4-BE49-F238E27FC236}">
              <a16:creationId xmlns:a16="http://schemas.microsoft.com/office/drawing/2014/main" id="{A377F222-0A8A-4F62-AE11-2809315F4A0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943600"/>
          <a:ext cx="4235450" cy="565150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516930</xdr:colOff>
      <xdr:row>5</xdr:row>
      <xdr:rowOff>111720</xdr:rowOff>
    </xdr:from>
    <xdr:to>
      <xdr:col>18</xdr:col>
      <xdr:colOff>88305</xdr:colOff>
      <xdr:row>21</xdr:row>
      <xdr:rowOff>156170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A6485F-AC8F-424B-A0E6-45826110A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2</xdr:row>
      <xdr:rowOff>0</xdr:rowOff>
    </xdr:from>
    <xdr:to>
      <xdr:col>7</xdr:col>
      <xdr:colOff>62449</xdr:colOff>
      <xdr:row>7</xdr:row>
      <xdr:rowOff>100734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77E2E0F5-2024-4472-9E44-3DCF7466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349750" y="330200"/>
          <a:ext cx="3358099" cy="926234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ristian Zamorano" id="{D7462327-99A9-4DA2-8518-A961C80DAF26}" userId="785ee01c94b51526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14" dT="2024-10-23T15:49:41.35" personId="{D7462327-99A9-4DA2-8518-A961C80DAF26}" id="{483C0F56-4E6B-41F5-BD5B-CC136D108C90}">
    <text xml:space="preserve">Medir con el ImageJ
</text>
  </threadedComment>
  <threadedComment ref="K114" dT="2024-10-23T15:50:09.43" personId="{D7462327-99A9-4DA2-8518-A961C80DAF26}" id="{5347D661-DFEE-4DC9-B4A3-DC2980EF4C53}" parentId="{483C0F56-4E6B-41F5-BD5B-CC136D108C90}">
    <text>Medir gonopterigios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6" dT="2024-10-23T15:13:26.77" personId="{D7462327-99A9-4DA2-8518-A961C80DAF26}" id="{C75B7FF5-72C2-49C9-8202-5E8BF91CC66F}">
    <text>Revisado en hoja de campo, no se tiene fotografia de gonadas</text>
  </threadedComment>
  <threadedComment ref="K7" dT="2024-10-23T15:15:56.36" personId="{D7462327-99A9-4DA2-8518-A961C80DAF26}" id="{40174B70-9C8F-4AEC-B864-9BF1A28C8C56}">
    <text>Revisado en hoja de campo, no se tiene fotografia de gonadas</text>
  </threadedComment>
  <threadedComment ref="K10" dT="2024-10-23T15:25:17.60" personId="{D7462327-99A9-4DA2-8518-A961C80DAF26}" id="{2508823E-A3C9-4365-BBE0-A0D676485FCC}">
    <text xml:space="preserve">Revisado en hoja de campo, no se tiene fotografia de gonadas
</text>
  </threadedComment>
  <threadedComment ref="K11" dT="2024-10-23T15:29:41.80" personId="{D7462327-99A9-4DA2-8518-A961C80DAF26}" id="{20420CCE-E8D9-4DF0-9AD7-1CA5D029CC31}">
    <text xml:space="preserve">Revisado en hoja de campo, no se tiene fotografia de gonadas
</text>
  </threadedComment>
  <threadedComment ref="K12" dT="2024-10-23T15:36:17.51" personId="{D7462327-99A9-4DA2-8518-A961C80DAF26}" id="{4EC4CC3E-6F53-4B5D-90A2-7AAEBC9DF552}">
    <text>Medir con el imageJ program</text>
  </threadedComment>
  <threadedComment ref="K17" dT="2024-10-23T15:40:17.16" personId="{D7462327-99A9-4DA2-8518-A961C80DAF26}" id="{7CC8EA58-6506-4488-9452-A78E00DB1611}">
    <text>Sin fotos</text>
  </threadedComment>
  <threadedComment ref="K22" dT="2024-10-23T15:41:03.62" personId="{D7462327-99A9-4DA2-8518-A961C80DAF26}" id="{7FA03A7D-89E4-4EE2-9536-FE823A83AB91}">
    <text>Revisado en hoja de campo, no se tiene fotografia de gonadas</text>
  </threadedComment>
  <threadedComment ref="K26" dT="2024-10-23T15:42:40.72" personId="{D7462327-99A9-4DA2-8518-A961C80DAF26}" id="{5FE1FFA0-883F-473B-8FBC-CDBDB8813D94}">
    <text>Revisado en hoja de campo, no se tiene fotografia de gonadas</text>
  </threadedComment>
  <threadedComment ref="K41" dT="2024-10-23T15:53:36.00" personId="{D7462327-99A9-4DA2-8518-A961C80DAF26}" id="{5D5ACD9F-80C4-49E5-8CBE-75A8C9611B15}">
    <text>Estado Juvenil Premaduro</text>
  </threadedComment>
  <threadedComment ref="K47" dT="2024-10-23T15:58:51.30" personId="{D7462327-99A9-4DA2-8518-A961C80DAF26}" id="{B4EE3FEE-5372-4541-A366-10BE453C8828}">
    <text>Medir en el ImageJ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D7BB70-5991-4679-AD40-37F379FCCC7E}">
  <we:reference id="wa104100404" version="3.0.0.1" store="es-MX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E8B7-9CB6-4555-BA15-98EED7201966}">
  <dimension ref="A2:R578"/>
  <sheetViews>
    <sheetView topLeftCell="A7" zoomScale="57" zoomScaleNormal="57" workbookViewId="0">
      <selection activeCell="F102" sqref="F102"/>
    </sheetView>
  </sheetViews>
  <sheetFormatPr baseColWidth="10" defaultRowHeight="13" x14ac:dyDescent="0.3"/>
  <cols>
    <col min="17" max="17" width="19.5" customWidth="1"/>
    <col min="18" max="18" width="22.796875" customWidth="1"/>
  </cols>
  <sheetData>
    <row r="2" spans="1:18" x14ac:dyDescent="0.3">
      <c r="A2" s="1" t="s">
        <v>0</v>
      </c>
      <c r="B2" s="1" t="s">
        <v>1</v>
      </c>
      <c r="C2" s="3" t="s">
        <v>5</v>
      </c>
      <c r="D2" s="3" t="s">
        <v>6</v>
      </c>
      <c r="E2" s="3" t="s">
        <v>7</v>
      </c>
      <c r="F2" s="3" t="s">
        <v>8</v>
      </c>
      <c r="I2" s="58" t="s">
        <v>589</v>
      </c>
      <c r="J2" s="59"/>
      <c r="M2" s="58" t="s">
        <v>663</v>
      </c>
      <c r="N2" s="58"/>
      <c r="Q2" s="59" t="s">
        <v>672</v>
      </c>
      <c r="R2" s="59"/>
    </row>
    <row r="3" spans="1:18" x14ac:dyDescent="0.3">
      <c r="A3" s="4" t="s">
        <v>33</v>
      </c>
      <c r="B3" s="4">
        <v>611</v>
      </c>
      <c r="C3" s="6" t="s">
        <v>35</v>
      </c>
      <c r="D3" s="6" t="s">
        <v>40</v>
      </c>
      <c r="E3" s="6">
        <v>13.2</v>
      </c>
      <c r="F3" s="6">
        <v>8.8000000000000007</v>
      </c>
      <c r="I3" s="14" t="s">
        <v>581</v>
      </c>
      <c r="J3">
        <f>COUNT(E3:E578)</f>
        <v>576</v>
      </c>
      <c r="M3" s="14" t="s">
        <v>581</v>
      </c>
      <c r="N3">
        <f>COUNT(F3:F575)</f>
        <v>573</v>
      </c>
      <c r="Q3" t="s">
        <v>673</v>
      </c>
      <c r="R3" s="46">
        <f>AVERAGE(E103:E202)</f>
        <v>80.726099999999974</v>
      </c>
    </row>
    <row r="4" spans="1:18" x14ac:dyDescent="0.3">
      <c r="A4" s="4" t="s">
        <v>33</v>
      </c>
      <c r="B4" s="4">
        <v>638</v>
      </c>
      <c r="C4" s="6" t="s">
        <v>35</v>
      </c>
      <c r="D4" s="6" t="s">
        <v>40</v>
      </c>
      <c r="E4" s="6">
        <v>15.8</v>
      </c>
      <c r="F4" s="6">
        <v>9.5</v>
      </c>
      <c r="I4" s="44" t="s">
        <v>582</v>
      </c>
      <c r="J4" s="45">
        <f>1+3.322*LOG(J3)</f>
        <v>10.17012348993191</v>
      </c>
      <c r="K4" s="45">
        <v>11</v>
      </c>
      <c r="L4" s="45"/>
      <c r="M4" s="44" t="s">
        <v>582</v>
      </c>
      <c r="N4" s="45">
        <f>1+3.322*LOG(N3)</f>
        <v>10.162589654175669</v>
      </c>
      <c r="O4" s="45">
        <v>11</v>
      </c>
      <c r="Q4" t="s">
        <v>674</v>
      </c>
      <c r="R4" s="46">
        <f>AVERAGE(E3:E102)</f>
        <v>57.887000000000008</v>
      </c>
    </row>
    <row r="5" spans="1:18" x14ac:dyDescent="0.3">
      <c r="A5" s="4" t="s">
        <v>33</v>
      </c>
      <c r="B5" s="4">
        <v>748</v>
      </c>
      <c r="C5" s="6" t="s">
        <v>35</v>
      </c>
      <c r="D5" s="6" t="s">
        <v>40</v>
      </c>
      <c r="E5" s="6">
        <v>15</v>
      </c>
      <c r="F5" s="6">
        <v>9.8000000000000007</v>
      </c>
      <c r="I5" s="14" t="s">
        <v>583</v>
      </c>
      <c r="J5">
        <f>MIN(E3:E578)</f>
        <v>13.2</v>
      </c>
      <c r="M5" s="14" t="s">
        <v>583</v>
      </c>
      <c r="N5">
        <f>MIN(F3:F575)</f>
        <v>8.8000000000000007</v>
      </c>
      <c r="Q5" t="s">
        <v>675</v>
      </c>
      <c r="R5" s="46">
        <f>AVERAGE(F103:F202)</f>
        <v>56.295999999999992</v>
      </c>
    </row>
    <row r="6" spans="1:18" x14ac:dyDescent="0.3">
      <c r="A6" s="4" t="s">
        <v>33</v>
      </c>
      <c r="B6" s="4">
        <v>639</v>
      </c>
      <c r="C6" s="6" t="s">
        <v>35</v>
      </c>
      <c r="D6" s="6" t="s">
        <v>40</v>
      </c>
      <c r="E6" s="6">
        <v>15.9</v>
      </c>
      <c r="F6" s="6">
        <v>10</v>
      </c>
      <c r="I6" s="14" t="s">
        <v>584</v>
      </c>
      <c r="J6">
        <f>MAX(E3:E578)</f>
        <v>108.3</v>
      </c>
      <c r="M6" s="14" t="s">
        <v>584</v>
      </c>
      <c r="N6">
        <f>MAX(F3:F575)</f>
        <v>86.2</v>
      </c>
      <c r="Q6" t="s">
        <v>676</v>
      </c>
      <c r="R6" s="46">
        <f>AVERAGE(F3:F102)</f>
        <v>38.795500000000011</v>
      </c>
    </row>
    <row r="7" spans="1:18" x14ac:dyDescent="0.3">
      <c r="A7" s="4" t="s">
        <v>33</v>
      </c>
      <c r="B7" s="4">
        <v>1258</v>
      </c>
      <c r="C7" s="6" t="s">
        <v>35</v>
      </c>
      <c r="D7" s="6" t="s">
        <v>40</v>
      </c>
      <c r="E7" s="6">
        <v>15.1</v>
      </c>
      <c r="F7" s="6">
        <v>10.5</v>
      </c>
      <c r="I7" s="14" t="s">
        <v>585</v>
      </c>
      <c r="J7">
        <f>J6-J5</f>
        <v>95.1</v>
      </c>
      <c r="M7" s="14" t="s">
        <v>585</v>
      </c>
      <c r="N7">
        <f>N6-N5</f>
        <v>77.400000000000006</v>
      </c>
      <c r="Q7" t="s">
        <v>677</v>
      </c>
      <c r="R7" s="46">
        <f>_xlfn.STDEV.S(E103:E202)</f>
        <v>8.7530312088691904</v>
      </c>
    </row>
    <row r="8" spans="1:18" x14ac:dyDescent="0.3">
      <c r="A8" s="4" t="s">
        <v>33</v>
      </c>
      <c r="B8" s="4">
        <v>543</v>
      </c>
      <c r="C8" s="6" t="s">
        <v>35</v>
      </c>
      <c r="D8" s="6" t="s">
        <v>40</v>
      </c>
      <c r="E8" s="6">
        <v>34.6</v>
      </c>
      <c r="F8" s="6">
        <v>21.5</v>
      </c>
      <c r="I8" s="14" t="s">
        <v>586</v>
      </c>
      <c r="J8">
        <f>J7/K4</f>
        <v>8.6454545454545446</v>
      </c>
      <c r="M8" s="14" t="s">
        <v>586</v>
      </c>
      <c r="N8">
        <f>N7/O4</f>
        <v>7.036363636363637</v>
      </c>
      <c r="Q8" t="s">
        <v>678</v>
      </c>
      <c r="R8" s="46">
        <f>_xlfn.STDEV.S(E3:E102)</f>
        <v>15.303182840523904</v>
      </c>
    </row>
    <row r="9" spans="1:18" x14ac:dyDescent="0.3">
      <c r="A9" s="4" t="s">
        <v>33</v>
      </c>
      <c r="B9" s="4">
        <v>16</v>
      </c>
      <c r="C9" s="6" t="s">
        <v>35</v>
      </c>
      <c r="D9" s="6" t="s">
        <v>40</v>
      </c>
      <c r="E9" s="6">
        <v>33.1</v>
      </c>
      <c r="F9" s="6">
        <v>23.3</v>
      </c>
      <c r="Q9" t="s">
        <v>679</v>
      </c>
      <c r="R9" s="46">
        <f>_xlfn.STDEV.S(F103:F202)</f>
        <v>7.2769446357880749</v>
      </c>
    </row>
    <row r="10" spans="1:18" x14ac:dyDescent="0.3">
      <c r="A10" s="4" t="s">
        <v>33</v>
      </c>
      <c r="B10" s="4">
        <v>5</v>
      </c>
      <c r="C10" s="6" t="s">
        <v>35</v>
      </c>
      <c r="D10" s="6" t="s">
        <v>40</v>
      </c>
      <c r="E10" s="6">
        <v>38.4</v>
      </c>
      <c r="F10" s="6">
        <v>26.35</v>
      </c>
      <c r="I10" s="14" t="s">
        <v>587</v>
      </c>
      <c r="J10" s="14" t="s">
        <v>588</v>
      </c>
      <c r="M10" s="14" t="s">
        <v>587</v>
      </c>
      <c r="N10" s="14" t="s">
        <v>588</v>
      </c>
      <c r="Q10" t="s">
        <v>680</v>
      </c>
      <c r="R10" s="46">
        <f>_xlfn.STDEV.S(F3:F102)</f>
        <v>10.416799017340988</v>
      </c>
    </row>
    <row r="11" spans="1:18" x14ac:dyDescent="0.3">
      <c r="A11" s="4" t="s">
        <v>33</v>
      </c>
      <c r="B11" s="4">
        <v>523</v>
      </c>
      <c r="C11" s="6" t="s">
        <v>35</v>
      </c>
      <c r="D11" s="6" t="s">
        <v>40</v>
      </c>
      <c r="E11" s="6">
        <v>36.1</v>
      </c>
      <c r="F11" s="6">
        <v>27.9</v>
      </c>
      <c r="I11" s="46">
        <f>J5</f>
        <v>13.2</v>
      </c>
      <c r="J11" s="46">
        <f>I11+$J$8</f>
        <v>21.845454545454544</v>
      </c>
      <c r="M11" s="46">
        <f>N5</f>
        <v>8.8000000000000007</v>
      </c>
      <c r="N11" s="46">
        <f>M11+$N$8</f>
        <v>15.836363636363638</v>
      </c>
    </row>
    <row r="12" spans="1:18" x14ac:dyDescent="0.3">
      <c r="A12" s="4" t="s">
        <v>33</v>
      </c>
      <c r="B12" s="4">
        <v>489</v>
      </c>
      <c r="C12" s="6" t="s">
        <v>35</v>
      </c>
      <c r="D12" s="6" t="s">
        <v>40</v>
      </c>
      <c r="E12" s="6">
        <v>46</v>
      </c>
      <c r="F12" s="6">
        <v>28</v>
      </c>
      <c r="I12" s="46">
        <f>J11</f>
        <v>21.845454545454544</v>
      </c>
      <c r="J12" s="46">
        <f>I12+$J$8</f>
        <v>30.490909090909089</v>
      </c>
      <c r="M12" s="46">
        <f>N11</f>
        <v>15.836363636363638</v>
      </c>
      <c r="N12" s="46">
        <f t="shared" ref="N12:N21" si="0">M12+$N$8</f>
        <v>22.872727272727275</v>
      </c>
      <c r="Q12" s="59" t="s">
        <v>681</v>
      </c>
      <c r="R12" s="59"/>
    </row>
    <row r="13" spans="1:18" x14ac:dyDescent="0.3">
      <c r="A13" s="4" t="s">
        <v>33</v>
      </c>
      <c r="B13" s="4">
        <v>1007</v>
      </c>
      <c r="C13" s="6" t="s">
        <v>35</v>
      </c>
      <c r="D13" s="6" t="s">
        <v>40</v>
      </c>
      <c r="E13" s="6">
        <v>42.3</v>
      </c>
      <c r="F13" s="6">
        <v>28.1</v>
      </c>
      <c r="I13" s="46">
        <f t="shared" ref="I13:I21" si="1">J12</f>
        <v>30.490909090909089</v>
      </c>
      <c r="J13" s="46">
        <f t="shared" ref="J13:J21" si="2">I13+$J$8</f>
        <v>39.136363636363633</v>
      </c>
      <c r="M13" s="46">
        <f t="shared" ref="M13:M21" si="3">N12</f>
        <v>22.872727272727275</v>
      </c>
      <c r="N13" s="46">
        <f t="shared" si="0"/>
        <v>29.909090909090914</v>
      </c>
      <c r="Q13" t="s">
        <v>673</v>
      </c>
      <c r="R13" s="46">
        <f>AVERAGE(E328:E578)</f>
        <v>67.143426294820728</v>
      </c>
    </row>
    <row r="14" spans="1:18" x14ac:dyDescent="0.3">
      <c r="A14" s="4" t="s">
        <v>33</v>
      </c>
      <c r="B14" s="4">
        <v>500</v>
      </c>
      <c r="C14" s="6" t="s">
        <v>35</v>
      </c>
      <c r="D14" s="6" t="s">
        <v>40</v>
      </c>
      <c r="E14" s="6">
        <v>42.4</v>
      </c>
      <c r="F14" s="6">
        <v>28.2</v>
      </c>
      <c r="I14" s="46">
        <f t="shared" si="1"/>
        <v>39.136363636363633</v>
      </c>
      <c r="J14" s="46">
        <f t="shared" si="2"/>
        <v>47.781818181818181</v>
      </c>
      <c r="M14" s="46">
        <f t="shared" si="3"/>
        <v>29.909090909090914</v>
      </c>
      <c r="N14" s="46">
        <f t="shared" si="0"/>
        <v>36.945454545454552</v>
      </c>
      <c r="Q14" t="s">
        <v>674</v>
      </c>
      <c r="R14" s="46">
        <f>AVERAGE(E203:E327)</f>
        <v>54.175200000000011</v>
      </c>
    </row>
    <row r="15" spans="1:18" x14ac:dyDescent="0.3">
      <c r="A15" s="4" t="s">
        <v>33</v>
      </c>
      <c r="B15" s="4">
        <v>533</v>
      </c>
      <c r="C15" s="6" t="s">
        <v>35</v>
      </c>
      <c r="D15" s="6" t="s">
        <v>40</v>
      </c>
      <c r="E15" s="6">
        <v>44.6</v>
      </c>
      <c r="F15" s="6">
        <v>28.8</v>
      </c>
      <c r="I15" s="46">
        <f t="shared" si="1"/>
        <v>47.781818181818181</v>
      </c>
      <c r="J15" s="46">
        <f t="shared" si="2"/>
        <v>56.427272727272722</v>
      </c>
      <c r="M15" s="46">
        <f t="shared" si="3"/>
        <v>36.945454545454552</v>
      </c>
      <c r="N15" s="46">
        <f t="shared" si="0"/>
        <v>43.981818181818191</v>
      </c>
      <c r="Q15" t="s">
        <v>675</v>
      </c>
      <c r="R15" s="46">
        <f>AVERAGE(F328:F575)</f>
        <v>45.84596774193551</v>
      </c>
    </row>
    <row r="16" spans="1:18" x14ac:dyDescent="0.3">
      <c r="A16" s="4" t="s">
        <v>33</v>
      </c>
      <c r="B16" s="4">
        <v>163</v>
      </c>
      <c r="C16" s="6" t="s">
        <v>35</v>
      </c>
      <c r="D16" s="6" t="s">
        <v>40</v>
      </c>
      <c r="E16" s="6">
        <v>44</v>
      </c>
      <c r="F16" s="6">
        <v>29</v>
      </c>
      <c r="I16" s="46">
        <f t="shared" si="1"/>
        <v>56.427272727272722</v>
      </c>
      <c r="J16" s="46">
        <f t="shared" si="2"/>
        <v>65.072727272727263</v>
      </c>
      <c r="M16" s="46">
        <f t="shared" si="3"/>
        <v>43.981818181818191</v>
      </c>
      <c r="N16" s="46">
        <f t="shared" si="0"/>
        <v>51.01818181818183</v>
      </c>
      <c r="Q16" t="s">
        <v>676</v>
      </c>
      <c r="R16" s="46">
        <f>AVERAGE(F203:F327)</f>
        <v>36.510079999999995</v>
      </c>
    </row>
    <row r="17" spans="1:18" x14ac:dyDescent="0.3">
      <c r="A17" s="4" t="s">
        <v>33</v>
      </c>
      <c r="B17" s="4">
        <v>162</v>
      </c>
      <c r="C17" s="6" t="s">
        <v>35</v>
      </c>
      <c r="D17" s="6" t="s">
        <v>40</v>
      </c>
      <c r="E17" s="6">
        <v>44.3</v>
      </c>
      <c r="F17" s="6">
        <v>29</v>
      </c>
      <c r="I17" s="46">
        <f t="shared" si="1"/>
        <v>65.072727272727263</v>
      </c>
      <c r="J17" s="46">
        <f t="shared" si="2"/>
        <v>73.718181818181804</v>
      </c>
      <c r="M17" s="46">
        <f t="shared" si="3"/>
        <v>51.01818181818183</v>
      </c>
      <c r="N17" s="46">
        <f t="shared" si="0"/>
        <v>58.054545454545469</v>
      </c>
      <c r="Q17" t="s">
        <v>677</v>
      </c>
      <c r="R17" s="46">
        <f>_xlfn.STDEV.S(E328:E578)</f>
        <v>5.5833526320254769</v>
      </c>
    </row>
    <row r="18" spans="1:18" x14ac:dyDescent="0.3">
      <c r="A18" s="4" t="s">
        <v>33</v>
      </c>
      <c r="B18" s="4">
        <v>532</v>
      </c>
      <c r="C18" s="6" t="s">
        <v>35</v>
      </c>
      <c r="D18" s="6" t="s">
        <v>40</v>
      </c>
      <c r="E18" s="6">
        <v>41.9</v>
      </c>
      <c r="F18" s="6">
        <v>29.1</v>
      </c>
      <c r="I18" s="46">
        <f t="shared" si="1"/>
        <v>73.718181818181804</v>
      </c>
      <c r="J18" s="46">
        <f t="shared" si="2"/>
        <v>82.363636363636346</v>
      </c>
      <c r="M18" s="46">
        <f t="shared" si="3"/>
        <v>58.054545454545469</v>
      </c>
      <c r="N18" s="46">
        <f t="shared" si="0"/>
        <v>65.090909090909108</v>
      </c>
      <c r="Q18" t="s">
        <v>678</v>
      </c>
      <c r="R18" s="46">
        <f>_xlfn.STDEV.S(E203:E327)</f>
        <v>10.939545429017917</v>
      </c>
    </row>
    <row r="19" spans="1:18" x14ac:dyDescent="0.3">
      <c r="A19" s="4" t="s">
        <v>33</v>
      </c>
      <c r="B19" s="4">
        <v>512</v>
      </c>
      <c r="C19" s="6" t="s">
        <v>35</v>
      </c>
      <c r="D19" s="6" t="s">
        <v>40</v>
      </c>
      <c r="E19" s="6">
        <v>43.3</v>
      </c>
      <c r="F19" s="6">
        <v>29.3</v>
      </c>
      <c r="I19" s="46">
        <f t="shared" si="1"/>
        <v>82.363636363636346</v>
      </c>
      <c r="J19" s="46">
        <f t="shared" si="2"/>
        <v>91.009090909090887</v>
      </c>
      <c r="M19" s="46">
        <f t="shared" si="3"/>
        <v>65.090909090909108</v>
      </c>
      <c r="N19" s="46">
        <f t="shared" si="0"/>
        <v>72.127272727272739</v>
      </c>
      <c r="Q19" t="s">
        <v>679</v>
      </c>
      <c r="R19" s="46">
        <f>_xlfn.STDEV.S(F328:F575)</f>
        <v>3.2754243584152793</v>
      </c>
    </row>
    <row r="20" spans="1:18" x14ac:dyDescent="0.3">
      <c r="A20" s="4" t="s">
        <v>33</v>
      </c>
      <c r="B20" s="4">
        <v>552</v>
      </c>
      <c r="C20" s="6" t="s">
        <v>35</v>
      </c>
      <c r="D20" s="6" t="s">
        <v>40</v>
      </c>
      <c r="E20" s="6">
        <v>46</v>
      </c>
      <c r="F20" s="6">
        <v>29.7</v>
      </c>
      <c r="I20" s="46">
        <f t="shared" si="1"/>
        <v>91.009090909090887</v>
      </c>
      <c r="J20" s="46">
        <f t="shared" si="2"/>
        <v>99.654545454545428</v>
      </c>
      <c r="M20" s="46">
        <f t="shared" si="3"/>
        <v>72.127272727272739</v>
      </c>
      <c r="N20" s="46">
        <f t="shared" si="0"/>
        <v>79.163636363636371</v>
      </c>
      <c r="Q20" t="s">
        <v>680</v>
      </c>
      <c r="R20" s="46">
        <f>_xlfn.STDEV.S(F203:F327)</f>
        <v>7.4228933685787499</v>
      </c>
    </row>
    <row r="21" spans="1:18" x14ac:dyDescent="0.3">
      <c r="A21" s="4" t="s">
        <v>33</v>
      </c>
      <c r="B21" s="4">
        <v>477</v>
      </c>
      <c r="C21" s="6" t="s">
        <v>35</v>
      </c>
      <c r="D21" s="6" t="s">
        <v>40</v>
      </c>
      <c r="E21" s="6">
        <v>47.3</v>
      </c>
      <c r="F21" s="6">
        <v>29.8</v>
      </c>
      <c r="I21" s="46">
        <f t="shared" si="1"/>
        <v>99.654545454545428</v>
      </c>
      <c r="J21" s="46">
        <f t="shared" si="2"/>
        <v>108.29999999999997</v>
      </c>
      <c r="M21" s="46">
        <f t="shared" si="3"/>
        <v>79.163636363636371</v>
      </c>
      <c r="N21" s="46">
        <f t="shared" si="0"/>
        <v>86.2</v>
      </c>
    </row>
    <row r="22" spans="1:18" ht="13.5" thickBot="1" x14ac:dyDescent="0.35">
      <c r="A22" s="4" t="s">
        <v>33</v>
      </c>
      <c r="B22" s="4">
        <v>526</v>
      </c>
      <c r="C22" s="6" t="s">
        <v>35</v>
      </c>
      <c r="D22" s="6" t="s">
        <v>40</v>
      </c>
      <c r="E22" s="6">
        <v>41.5</v>
      </c>
      <c r="F22" s="6">
        <v>30.6</v>
      </c>
      <c r="M22" s="46"/>
      <c r="N22" s="46"/>
    </row>
    <row r="23" spans="1:18" x14ac:dyDescent="0.3">
      <c r="A23" s="4" t="s">
        <v>33</v>
      </c>
      <c r="B23" s="4">
        <v>470</v>
      </c>
      <c r="C23" s="6" t="s">
        <v>35</v>
      </c>
      <c r="D23" s="6" t="s">
        <v>40</v>
      </c>
      <c r="E23" s="6">
        <v>47.3</v>
      </c>
      <c r="F23" s="6">
        <v>30.6</v>
      </c>
      <c r="I23" s="42" t="s">
        <v>591</v>
      </c>
      <c r="J23" s="42" t="s">
        <v>592</v>
      </c>
      <c r="M23" s="42" t="s">
        <v>591</v>
      </c>
      <c r="N23" s="42" t="s">
        <v>592</v>
      </c>
    </row>
    <row r="24" spans="1:18" x14ac:dyDescent="0.3">
      <c r="A24" s="4" t="s">
        <v>33</v>
      </c>
      <c r="B24" s="4">
        <v>471</v>
      </c>
      <c r="C24" s="6" t="s">
        <v>35</v>
      </c>
      <c r="D24" s="6" t="s">
        <v>40</v>
      </c>
      <c r="E24" s="6">
        <v>46.6</v>
      </c>
      <c r="F24" s="6">
        <v>31.2</v>
      </c>
      <c r="I24" s="46">
        <v>21.845454545454544</v>
      </c>
      <c r="J24">
        <v>8</v>
      </c>
      <c r="M24" s="46">
        <v>15.836363636363638</v>
      </c>
      <c r="N24">
        <v>8</v>
      </c>
    </row>
    <row r="25" spans="1:18" x14ac:dyDescent="0.3">
      <c r="A25" s="4" t="s">
        <v>33</v>
      </c>
      <c r="B25" s="4">
        <v>501</v>
      </c>
      <c r="C25" s="6" t="s">
        <v>35</v>
      </c>
      <c r="D25" s="6" t="s">
        <v>40</v>
      </c>
      <c r="E25" s="6">
        <v>48.6</v>
      </c>
      <c r="F25" s="6">
        <v>31.4</v>
      </c>
      <c r="I25" s="46">
        <v>30.490909090909089</v>
      </c>
      <c r="J25">
        <v>1</v>
      </c>
      <c r="M25" s="46">
        <v>22.872727272727275</v>
      </c>
      <c r="N25">
        <v>2</v>
      </c>
    </row>
    <row r="26" spans="1:18" x14ac:dyDescent="0.3">
      <c r="A26" s="4" t="s">
        <v>33</v>
      </c>
      <c r="B26" s="4">
        <v>505</v>
      </c>
      <c r="C26" s="6" t="s">
        <v>35</v>
      </c>
      <c r="D26" s="6" t="s">
        <v>40</v>
      </c>
      <c r="E26" s="6">
        <v>49.1</v>
      </c>
      <c r="F26" s="6">
        <v>31.5</v>
      </c>
      <c r="I26" s="46">
        <v>39.136363636363633</v>
      </c>
      <c r="J26">
        <v>7</v>
      </c>
      <c r="M26" s="46">
        <v>29.909090909090914</v>
      </c>
      <c r="N26">
        <v>27</v>
      </c>
    </row>
    <row r="27" spans="1:18" x14ac:dyDescent="0.3">
      <c r="A27" s="4" t="s">
        <v>33</v>
      </c>
      <c r="B27" s="4">
        <v>524</v>
      </c>
      <c r="C27" s="6" t="s">
        <v>35</v>
      </c>
      <c r="D27" s="6" t="s">
        <v>40</v>
      </c>
      <c r="E27" s="6">
        <v>43</v>
      </c>
      <c r="F27" s="6">
        <v>31.6</v>
      </c>
      <c r="I27" s="46">
        <v>47.781818181818181</v>
      </c>
      <c r="J27">
        <v>41</v>
      </c>
      <c r="M27" s="46">
        <v>36.945454545454552</v>
      </c>
      <c r="N27">
        <v>66</v>
      </c>
    </row>
    <row r="28" spans="1:18" x14ac:dyDescent="0.3">
      <c r="A28" s="4" t="s">
        <v>33</v>
      </c>
      <c r="B28" s="4">
        <v>329</v>
      </c>
      <c r="C28" s="6" t="s">
        <v>35</v>
      </c>
      <c r="D28" s="6" t="s">
        <v>40</v>
      </c>
      <c r="E28" s="6">
        <v>41.5</v>
      </c>
      <c r="F28" s="6">
        <v>31.7</v>
      </c>
      <c r="I28" s="46">
        <v>56.427272727272722</v>
      </c>
      <c r="J28">
        <v>59</v>
      </c>
      <c r="M28" s="46">
        <v>43.981818181818191</v>
      </c>
      <c r="N28">
        <v>135</v>
      </c>
    </row>
    <row r="29" spans="1:18" x14ac:dyDescent="0.3">
      <c r="A29" s="4" t="s">
        <v>33</v>
      </c>
      <c r="B29" s="4">
        <v>1088</v>
      </c>
      <c r="C29" s="6" t="s">
        <v>35</v>
      </c>
      <c r="D29" s="6" t="s">
        <v>40</v>
      </c>
      <c r="E29" s="6">
        <v>45</v>
      </c>
      <c r="F29" s="6">
        <v>32</v>
      </c>
      <c r="I29" s="46">
        <v>65.072727272727263</v>
      </c>
      <c r="J29">
        <v>132</v>
      </c>
      <c r="M29" s="46">
        <v>51.01818181818183</v>
      </c>
      <c r="N29">
        <v>235</v>
      </c>
    </row>
    <row r="30" spans="1:18" x14ac:dyDescent="0.3">
      <c r="A30" s="4" t="s">
        <v>33</v>
      </c>
      <c r="B30" s="4">
        <v>549</v>
      </c>
      <c r="C30" s="6" t="s">
        <v>35</v>
      </c>
      <c r="D30" s="6" t="s">
        <v>40</v>
      </c>
      <c r="E30" s="6">
        <v>53.1</v>
      </c>
      <c r="F30" s="6">
        <v>32.299999999999997</v>
      </c>
      <c r="I30" s="46">
        <v>73.718181818181804</v>
      </c>
      <c r="J30">
        <v>213</v>
      </c>
      <c r="M30" s="46">
        <v>58.054545454545469</v>
      </c>
      <c r="N30">
        <v>64</v>
      </c>
    </row>
    <row r="31" spans="1:18" x14ac:dyDescent="0.3">
      <c r="A31" s="4" t="s">
        <v>33</v>
      </c>
      <c r="B31" s="4">
        <v>371</v>
      </c>
      <c r="C31" s="6" t="s">
        <v>35</v>
      </c>
      <c r="D31" s="6" t="s">
        <v>40</v>
      </c>
      <c r="E31" s="6">
        <v>51.4</v>
      </c>
      <c r="F31" s="6">
        <v>32.5</v>
      </c>
      <c r="I31" s="46">
        <v>82.363636363636346</v>
      </c>
      <c r="J31">
        <v>65</v>
      </c>
      <c r="M31" s="46">
        <v>65.090909090909108</v>
      </c>
      <c r="N31">
        <v>30</v>
      </c>
    </row>
    <row r="32" spans="1:18" x14ac:dyDescent="0.3">
      <c r="A32" s="4" t="s">
        <v>33</v>
      </c>
      <c r="B32" s="4">
        <v>225</v>
      </c>
      <c r="C32" s="6" t="s">
        <v>35</v>
      </c>
      <c r="D32" s="6" t="s">
        <v>40</v>
      </c>
      <c r="E32" s="6">
        <v>55.5</v>
      </c>
      <c r="F32" s="6">
        <v>32.6</v>
      </c>
      <c r="I32" s="46">
        <v>91.009090909090887</v>
      </c>
      <c r="J32">
        <v>40</v>
      </c>
      <c r="M32" s="46">
        <v>72.127272727272739</v>
      </c>
      <c r="N32">
        <v>4</v>
      </c>
    </row>
    <row r="33" spans="1:14" x14ac:dyDescent="0.3">
      <c r="A33" s="4" t="s">
        <v>33</v>
      </c>
      <c r="B33" s="4">
        <v>3</v>
      </c>
      <c r="C33" s="6" t="s">
        <v>35</v>
      </c>
      <c r="D33" s="6" t="s">
        <v>40</v>
      </c>
      <c r="E33" s="6">
        <v>51</v>
      </c>
      <c r="F33" s="6">
        <v>33</v>
      </c>
      <c r="I33" s="46">
        <v>99.654545454545428</v>
      </c>
      <c r="J33">
        <v>9</v>
      </c>
      <c r="M33" s="46">
        <v>79.163636363636371</v>
      </c>
      <c r="N33">
        <v>1</v>
      </c>
    </row>
    <row r="34" spans="1:14" x14ac:dyDescent="0.3">
      <c r="A34" s="4" t="s">
        <v>33</v>
      </c>
      <c r="B34" s="4">
        <v>582</v>
      </c>
      <c r="C34" s="6" t="s">
        <v>35</v>
      </c>
      <c r="D34" s="6" t="s">
        <v>40</v>
      </c>
      <c r="E34" s="6">
        <v>50.3</v>
      </c>
      <c r="F34" s="6">
        <v>33.299999999999997</v>
      </c>
      <c r="I34" s="47">
        <v>108.29999999999997</v>
      </c>
      <c r="J34" s="33">
        <v>1</v>
      </c>
      <c r="M34" s="47">
        <v>86.2</v>
      </c>
      <c r="N34" s="33">
        <v>1</v>
      </c>
    </row>
    <row r="35" spans="1:14" x14ac:dyDescent="0.3">
      <c r="A35" s="4" t="s">
        <v>33</v>
      </c>
      <c r="B35" s="4">
        <v>177</v>
      </c>
      <c r="C35" s="6" t="s">
        <v>35</v>
      </c>
      <c r="D35" s="6" t="s">
        <v>40</v>
      </c>
      <c r="E35" s="6">
        <v>50</v>
      </c>
      <c r="F35" s="6">
        <v>33.4</v>
      </c>
    </row>
    <row r="36" spans="1:14" x14ac:dyDescent="0.3">
      <c r="A36" s="4" t="s">
        <v>33</v>
      </c>
      <c r="B36" s="4">
        <v>508</v>
      </c>
      <c r="C36" s="6" t="s">
        <v>35</v>
      </c>
      <c r="D36" s="6" t="s">
        <v>40</v>
      </c>
      <c r="E36" s="6">
        <v>48.9</v>
      </c>
      <c r="F36" s="6">
        <v>34.9</v>
      </c>
    </row>
    <row r="37" spans="1:14" x14ac:dyDescent="0.3">
      <c r="A37" s="4" t="s">
        <v>33</v>
      </c>
      <c r="B37" s="4">
        <v>174</v>
      </c>
      <c r="C37" s="6" t="s">
        <v>35</v>
      </c>
      <c r="D37" s="6" t="s">
        <v>40</v>
      </c>
      <c r="E37" s="6">
        <v>74.3</v>
      </c>
      <c r="F37" s="6">
        <v>35.200000000000003</v>
      </c>
    </row>
    <row r="38" spans="1:14" x14ac:dyDescent="0.3">
      <c r="A38" s="4" t="s">
        <v>33</v>
      </c>
      <c r="B38" s="4">
        <v>1243</v>
      </c>
      <c r="C38" s="6" t="s">
        <v>35</v>
      </c>
      <c r="D38" s="6" t="s">
        <v>40</v>
      </c>
      <c r="E38" s="6">
        <v>53.8</v>
      </c>
      <c r="F38" s="6">
        <v>35.6</v>
      </c>
    </row>
    <row r="39" spans="1:14" x14ac:dyDescent="0.3">
      <c r="A39" s="4" t="s">
        <v>33</v>
      </c>
      <c r="B39" s="4">
        <v>243</v>
      </c>
      <c r="C39" s="6" t="s">
        <v>35</v>
      </c>
      <c r="D39" s="6" t="s">
        <v>40</v>
      </c>
      <c r="E39" s="6">
        <v>55.2</v>
      </c>
      <c r="F39" s="6">
        <v>36.700000000000003</v>
      </c>
    </row>
    <row r="40" spans="1:14" x14ac:dyDescent="0.3">
      <c r="A40" s="4" t="s">
        <v>33</v>
      </c>
      <c r="B40" s="4">
        <v>531</v>
      </c>
      <c r="C40" s="6" t="s">
        <v>35</v>
      </c>
      <c r="D40" s="6" t="s">
        <v>40</v>
      </c>
      <c r="E40" s="6">
        <v>58.2</v>
      </c>
      <c r="F40" s="6">
        <v>37.9</v>
      </c>
    </row>
    <row r="41" spans="1:14" x14ac:dyDescent="0.3">
      <c r="A41" s="4" t="s">
        <v>33</v>
      </c>
      <c r="B41" s="4">
        <v>1057</v>
      </c>
      <c r="C41" s="6" t="s">
        <v>35</v>
      </c>
      <c r="D41" s="6" t="s">
        <v>40</v>
      </c>
      <c r="E41" s="6">
        <v>59</v>
      </c>
      <c r="F41" s="6">
        <v>37.9</v>
      </c>
    </row>
    <row r="42" spans="1:14" x14ac:dyDescent="0.3">
      <c r="A42" s="4" t="s">
        <v>33</v>
      </c>
      <c r="B42" s="4">
        <v>161</v>
      </c>
      <c r="C42" s="6" t="s">
        <v>35</v>
      </c>
      <c r="D42" s="6" t="s">
        <v>40</v>
      </c>
      <c r="E42" s="6">
        <v>55</v>
      </c>
      <c r="F42" s="6">
        <v>38.5</v>
      </c>
    </row>
    <row r="43" spans="1:14" x14ac:dyDescent="0.3">
      <c r="A43" s="4" t="s">
        <v>33</v>
      </c>
      <c r="B43" s="4">
        <v>258</v>
      </c>
      <c r="C43" s="6" t="s">
        <v>35</v>
      </c>
      <c r="D43" s="6" t="s">
        <v>40</v>
      </c>
      <c r="E43" s="6">
        <v>61.1</v>
      </c>
      <c r="F43" s="6">
        <v>38.5</v>
      </c>
    </row>
    <row r="44" spans="1:14" x14ac:dyDescent="0.3">
      <c r="A44" s="4" t="s">
        <v>33</v>
      </c>
      <c r="B44" s="4">
        <v>195</v>
      </c>
      <c r="C44" s="6" t="s">
        <v>35</v>
      </c>
      <c r="D44" s="6" t="s">
        <v>40</v>
      </c>
      <c r="E44" s="6">
        <v>62.6</v>
      </c>
      <c r="F44" s="6">
        <v>38.5</v>
      </c>
    </row>
    <row r="45" spans="1:14" x14ac:dyDescent="0.3">
      <c r="A45" s="4" t="s">
        <v>33</v>
      </c>
      <c r="B45" s="4">
        <v>203</v>
      </c>
      <c r="C45" s="6" t="s">
        <v>35</v>
      </c>
      <c r="D45" s="6" t="s">
        <v>40</v>
      </c>
      <c r="E45" s="6">
        <v>60</v>
      </c>
      <c r="F45" s="6">
        <v>39</v>
      </c>
    </row>
    <row r="46" spans="1:14" x14ac:dyDescent="0.3">
      <c r="A46" s="4" t="s">
        <v>33</v>
      </c>
      <c r="B46" s="4">
        <v>179</v>
      </c>
      <c r="C46" s="6" t="s">
        <v>35</v>
      </c>
      <c r="D46" s="6" t="s">
        <v>40</v>
      </c>
      <c r="E46" s="6">
        <v>60.9</v>
      </c>
      <c r="F46" s="6">
        <v>39.4</v>
      </c>
    </row>
    <row r="47" spans="1:14" x14ac:dyDescent="0.3">
      <c r="A47" s="4" t="s">
        <v>33</v>
      </c>
      <c r="B47" s="4">
        <v>180</v>
      </c>
      <c r="C47" s="6" t="s">
        <v>35</v>
      </c>
      <c r="D47" s="6" t="s">
        <v>40</v>
      </c>
      <c r="E47" s="6">
        <v>60</v>
      </c>
      <c r="F47" s="6">
        <v>39.5</v>
      </c>
    </row>
    <row r="48" spans="1:14" x14ac:dyDescent="0.3">
      <c r="A48" s="4" t="s">
        <v>33</v>
      </c>
      <c r="B48" s="4">
        <v>229</v>
      </c>
      <c r="C48" s="6" t="s">
        <v>35</v>
      </c>
      <c r="D48" s="6" t="s">
        <v>40</v>
      </c>
      <c r="E48" s="6">
        <v>61.3</v>
      </c>
      <c r="F48" s="6">
        <v>39.700000000000003</v>
      </c>
    </row>
    <row r="49" spans="1:6" x14ac:dyDescent="0.3">
      <c r="A49" s="4" t="s">
        <v>33</v>
      </c>
      <c r="B49" s="4">
        <v>254</v>
      </c>
      <c r="C49" s="6" t="s">
        <v>35</v>
      </c>
      <c r="D49" s="6" t="s">
        <v>40</v>
      </c>
      <c r="E49" s="6">
        <v>49.1</v>
      </c>
      <c r="F49" s="6">
        <v>40.200000000000003</v>
      </c>
    </row>
    <row r="50" spans="1:6" x14ac:dyDescent="0.3">
      <c r="A50" s="4" t="s">
        <v>33</v>
      </c>
      <c r="B50" s="4">
        <v>1085</v>
      </c>
      <c r="C50" s="6" t="s">
        <v>35</v>
      </c>
      <c r="D50" s="6" t="s">
        <v>40</v>
      </c>
      <c r="E50" s="6">
        <v>59.5</v>
      </c>
      <c r="F50" s="6">
        <v>40.299999999999997</v>
      </c>
    </row>
    <row r="51" spans="1:6" x14ac:dyDescent="0.3">
      <c r="A51" s="4" t="s">
        <v>33</v>
      </c>
      <c r="B51" s="4">
        <v>541</v>
      </c>
      <c r="C51" s="6" t="s">
        <v>35</v>
      </c>
      <c r="D51" s="6" t="s">
        <v>40</v>
      </c>
      <c r="E51" s="6">
        <v>62.1</v>
      </c>
      <c r="F51" s="6">
        <v>40.700000000000003</v>
      </c>
    </row>
    <row r="52" spans="1:6" x14ac:dyDescent="0.3">
      <c r="A52" s="4" t="s">
        <v>33</v>
      </c>
      <c r="B52" s="4">
        <v>221</v>
      </c>
      <c r="C52" s="6" t="s">
        <v>35</v>
      </c>
      <c r="D52" s="6" t="s">
        <v>40</v>
      </c>
      <c r="E52" s="6">
        <v>64.5</v>
      </c>
      <c r="F52" s="6">
        <v>40.799999999999997</v>
      </c>
    </row>
    <row r="53" spans="1:6" x14ac:dyDescent="0.3">
      <c r="A53" s="4" t="s">
        <v>33</v>
      </c>
      <c r="B53" s="4">
        <v>1042</v>
      </c>
      <c r="C53" s="6" t="s">
        <v>35</v>
      </c>
      <c r="D53" s="6" t="s">
        <v>40</v>
      </c>
      <c r="E53" s="6">
        <v>61.8</v>
      </c>
      <c r="F53" s="6">
        <v>41</v>
      </c>
    </row>
    <row r="54" spans="1:6" x14ac:dyDescent="0.3">
      <c r="A54" s="4" t="s">
        <v>33</v>
      </c>
      <c r="B54" s="4">
        <v>457</v>
      </c>
      <c r="C54" s="6" t="s">
        <v>35</v>
      </c>
      <c r="D54" s="6" t="s">
        <v>40</v>
      </c>
      <c r="E54" s="6">
        <v>65</v>
      </c>
      <c r="F54" s="6">
        <v>41.1</v>
      </c>
    </row>
    <row r="55" spans="1:6" x14ac:dyDescent="0.3">
      <c r="A55" s="4" t="s">
        <v>33</v>
      </c>
      <c r="B55" s="4">
        <v>473</v>
      </c>
      <c r="C55" s="6" t="s">
        <v>35</v>
      </c>
      <c r="D55" s="6" t="s">
        <v>40</v>
      </c>
      <c r="E55" s="6">
        <v>58.8</v>
      </c>
      <c r="F55" s="6">
        <v>41.5</v>
      </c>
    </row>
    <row r="56" spans="1:6" x14ac:dyDescent="0.3">
      <c r="A56" s="4" t="s">
        <v>33</v>
      </c>
      <c r="B56" s="4">
        <v>166</v>
      </c>
      <c r="C56" s="6" t="s">
        <v>35</v>
      </c>
      <c r="D56" s="6" t="s">
        <v>40</v>
      </c>
      <c r="E56" s="6">
        <v>62</v>
      </c>
      <c r="F56" s="6">
        <v>41.5</v>
      </c>
    </row>
    <row r="57" spans="1:6" x14ac:dyDescent="0.3">
      <c r="A57" s="4" t="s">
        <v>33</v>
      </c>
      <c r="B57" s="4">
        <v>1245</v>
      </c>
      <c r="C57" s="6" t="s">
        <v>35</v>
      </c>
      <c r="D57" s="6" t="s">
        <v>40</v>
      </c>
      <c r="E57" s="6">
        <v>61.8</v>
      </c>
      <c r="F57" s="6">
        <v>41.8</v>
      </c>
    </row>
    <row r="58" spans="1:6" x14ac:dyDescent="0.3">
      <c r="A58" s="4" t="s">
        <v>33</v>
      </c>
      <c r="B58" s="4">
        <v>200</v>
      </c>
      <c r="C58" s="6" t="s">
        <v>35</v>
      </c>
      <c r="D58" s="6" t="s">
        <v>40</v>
      </c>
      <c r="E58" s="6">
        <v>57.5</v>
      </c>
      <c r="F58" s="6">
        <v>42</v>
      </c>
    </row>
    <row r="59" spans="1:6" x14ac:dyDescent="0.3">
      <c r="A59" s="4" t="s">
        <v>33</v>
      </c>
      <c r="B59" s="4">
        <v>1242</v>
      </c>
      <c r="C59" s="6" t="s">
        <v>35</v>
      </c>
      <c r="D59" s="6" t="s">
        <v>40</v>
      </c>
      <c r="E59" s="6">
        <v>64</v>
      </c>
      <c r="F59" s="6">
        <v>42</v>
      </c>
    </row>
    <row r="60" spans="1:6" x14ac:dyDescent="0.3">
      <c r="A60" s="4" t="s">
        <v>33</v>
      </c>
      <c r="B60" s="4">
        <v>247</v>
      </c>
      <c r="C60" s="6" t="s">
        <v>35</v>
      </c>
      <c r="D60" s="6" t="s">
        <v>40</v>
      </c>
      <c r="E60" s="6">
        <v>66.900000000000006</v>
      </c>
      <c r="F60" s="6">
        <v>42.7</v>
      </c>
    </row>
    <row r="61" spans="1:6" x14ac:dyDescent="0.3">
      <c r="A61" s="4" t="s">
        <v>33</v>
      </c>
      <c r="B61" s="4">
        <v>406</v>
      </c>
      <c r="C61" s="6" t="s">
        <v>35</v>
      </c>
      <c r="D61" s="6" t="s">
        <v>40</v>
      </c>
      <c r="E61" s="6">
        <v>62.3</v>
      </c>
      <c r="F61" s="6">
        <v>43</v>
      </c>
    </row>
    <row r="62" spans="1:6" x14ac:dyDescent="0.3">
      <c r="A62" s="4" t="s">
        <v>33</v>
      </c>
      <c r="B62" s="4">
        <v>1093</v>
      </c>
      <c r="C62" s="6" t="s">
        <v>35</v>
      </c>
      <c r="D62" s="6" t="s">
        <v>40</v>
      </c>
      <c r="E62" s="6">
        <v>65.400000000000006</v>
      </c>
      <c r="F62" s="6">
        <v>43.2</v>
      </c>
    </row>
    <row r="63" spans="1:6" x14ac:dyDescent="0.3">
      <c r="A63" s="4" t="s">
        <v>33</v>
      </c>
      <c r="B63" s="4">
        <v>270</v>
      </c>
      <c r="C63" s="6" t="s">
        <v>35</v>
      </c>
      <c r="D63" s="6" t="s">
        <v>40</v>
      </c>
      <c r="E63" s="6">
        <v>68.5</v>
      </c>
      <c r="F63" s="6">
        <v>43.2</v>
      </c>
    </row>
    <row r="64" spans="1:6" x14ac:dyDescent="0.3">
      <c r="A64" s="4" t="s">
        <v>33</v>
      </c>
      <c r="B64" s="4">
        <v>420</v>
      </c>
      <c r="C64" s="6" t="s">
        <v>35</v>
      </c>
      <c r="D64" s="6" t="s">
        <v>40</v>
      </c>
      <c r="E64" s="6">
        <v>57</v>
      </c>
      <c r="F64" s="6">
        <v>43.4</v>
      </c>
    </row>
    <row r="65" spans="1:6" x14ac:dyDescent="0.3">
      <c r="A65" s="4" t="s">
        <v>33</v>
      </c>
      <c r="B65" s="4">
        <v>580</v>
      </c>
      <c r="C65" s="6" t="s">
        <v>35</v>
      </c>
      <c r="D65" s="6" t="s">
        <v>40</v>
      </c>
      <c r="E65" s="6">
        <v>67.5</v>
      </c>
      <c r="F65" s="6">
        <v>43.6</v>
      </c>
    </row>
    <row r="66" spans="1:6" x14ac:dyDescent="0.3">
      <c r="A66" s="4" t="s">
        <v>33</v>
      </c>
      <c r="B66" s="4">
        <v>226</v>
      </c>
      <c r="C66" s="6" t="s">
        <v>35</v>
      </c>
      <c r="D66" s="6" t="s">
        <v>40</v>
      </c>
      <c r="E66" s="6">
        <v>68</v>
      </c>
      <c r="F66" s="6">
        <v>43.6</v>
      </c>
    </row>
    <row r="67" spans="1:6" x14ac:dyDescent="0.3">
      <c r="A67" s="4" t="s">
        <v>33</v>
      </c>
      <c r="B67" s="4">
        <v>217</v>
      </c>
      <c r="C67" s="6" t="s">
        <v>35</v>
      </c>
      <c r="D67" s="6" t="s">
        <v>40</v>
      </c>
      <c r="E67" s="6">
        <v>66</v>
      </c>
      <c r="F67" s="6">
        <v>43.8</v>
      </c>
    </row>
    <row r="68" spans="1:6" x14ac:dyDescent="0.3">
      <c r="A68" s="4" t="s">
        <v>33</v>
      </c>
      <c r="B68" s="4">
        <v>366</v>
      </c>
      <c r="C68" s="6" t="s">
        <v>35</v>
      </c>
      <c r="D68" s="6" t="s">
        <v>40</v>
      </c>
      <c r="E68" s="6">
        <v>69.7</v>
      </c>
      <c r="F68" s="6">
        <v>43.9</v>
      </c>
    </row>
    <row r="69" spans="1:6" x14ac:dyDescent="0.3">
      <c r="A69" s="4" t="s">
        <v>33</v>
      </c>
      <c r="B69" s="4">
        <v>597</v>
      </c>
      <c r="C69" s="6" t="s">
        <v>35</v>
      </c>
      <c r="D69" s="6" t="s">
        <v>40</v>
      </c>
      <c r="E69" s="6">
        <v>69.3</v>
      </c>
      <c r="F69" s="6">
        <v>44.1</v>
      </c>
    </row>
    <row r="70" spans="1:6" x14ac:dyDescent="0.3">
      <c r="A70" s="4" t="s">
        <v>33</v>
      </c>
      <c r="B70" s="4">
        <v>210</v>
      </c>
      <c r="C70" s="6" t="s">
        <v>35</v>
      </c>
      <c r="D70" s="6" t="s">
        <v>40</v>
      </c>
      <c r="E70" s="6">
        <v>62.5</v>
      </c>
      <c r="F70" s="6">
        <v>45</v>
      </c>
    </row>
    <row r="71" spans="1:6" x14ac:dyDescent="0.3">
      <c r="A71" s="4" t="s">
        <v>33</v>
      </c>
      <c r="B71" s="4">
        <v>178</v>
      </c>
      <c r="C71" s="6" t="s">
        <v>35</v>
      </c>
      <c r="D71" s="6" t="s">
        <v>40</v>
      </c>
      <c r="E71" s="6">
        <v>63</v>
      </c>
      <c r="F71" s="6">
        <v>45</v>
      </c>
    </row>
    <row r="72" spans="1:6" x14ac:dyDescent="0.3">
      <c r="A72" s="4" t="s">
        <v>33</v>
      </c>
      <c r="B72" s="4">
        <v>492</v>
      </c>
      <c r="C72" s="6" t="s">
        <v>35</v>
      </c>
      <c r="D72" s="6" t="s">
        <v>40</v>
      </c>
      <c r="E72" s="6">
        <v>65.7</v>
      </c>
      <c r="F72" s="6">
        <v>45.1</v>
      </c>
    </row>
    <row r="73" spans="1:6" x14ac:dyDescent="0.3">
      <c r="A73" s="4" t="s">
        <v>33</v>
      </c>
      <c r="B73" s="4">
        <v>249</v>
      </c>
      <c r="C73" s="6" t="s">
        <v>35</v>
      </c>
      <c r="D73" s="6" t="s">
        <v>40</v>
      </c>
      <c r="E73" s="6">
        <v>67.099999999999994</v>
      </c>
      <c r="F73" s="6">
        <v>45.1</v>
      </c>
    </row>
    <row r="74" spans="1:6" x14ac:dyDescent="0.3">
      <c r="A74" s="4" t="s">
        <v>33</v>
      </c>
      <c r="B74" s="4">
        <v>185</v>
      </c>
      <c r="C74" s="6" t="s">
        <v>35</v>
      </c>
      <c r="D74" s="6" t="s">
        <v>40</v>
      </c>
      <c r="E74" s="6">
        <v>73.7</v>
      </c>
      <c r="F74" s="6">
        <v>45.6</v>
      </c>
    </row>
    <row r="75" spans="1:6" x14ac:dyDescent="0.3">
      <c r="A75" s="4" t="s">
        <v>33</v>
      </c>
      <c r="B75" s="4">
        <v>182</v>
      </c>
      <c r="C75" s="6" t="s">
        <v>35</v>
      </c>
      <c r="D75" s="6" t="s">
        <v>40</v>
      </c>
      <c r="E75" s="6">
        <v>71.2</v>
      </c>
      <c r="F75" s="6">
        <v>46.1</v>
      </c>
    </row>
    <row r="76" spans="1:6" x14ac:dyDescent="0.3">
      <c r="A76" s="4" t="s">
        <v>33</v>
      </c>
      <c r="B76" s="4">
        <v>175</v>
      </c>
      <c r="C76" s="6" t="s">
        <v>35</v>
      </c>
      <c r="D76" s="6" t="s">
        <v>40</v>
      </c>
      <c r="E76" s="6">
        <v>69.2</v>
      </c>
      <c r="F76" s="6">
        <v>46.3</v>
      </c>
    </row>
    <row r="77" spans="1:6" x14ac:dyDescent="0.3">
      <c r="A77" s="4" t="s">
        <v>33</v>
      </c>
      <c r="B77" s="4">
        <v>158</v>
      </c>
      <c r="C77" s="6" t="s">
        <v>35</v>
      </c>
      <c r="D77" s="6" t="s">
        <v>40</v>
      </c>
      <c r="E77" s="6">
        <v>68</v>
      </c>
      <c r="F77" s="6">
        <v>47</v>
      </c>
    </row>
    <row r="78" spans="1:6" x14ac:dyDescent="0.3">
      <c r="A78" s="4" t="s">
        <v>33</v>
      </c>
      <c r="B78" s="4">
        <v>238</v>
      </c>
      <c r="C78" s="6" t="s">
        <v>35</v>
      </c>
      <c r="D78" s="6" t="s">
        <v>40</v>
      </c>
      <c r="E78" s="6">
        <v>72</v>
      </c>
      <c r="F78" s="6">
        <v>47</v>
      </c>
    </row>
    <row r="79" spans="1:6" x14ac:dyDescent="0.3">
      <c r="A79" s="4" t="s">
        <v>33</v>
      </c>
      <c r="B79" s="4">
        <v>370</v>
      </c>
      <c r="C79" s="6" t="s">
        <v>35</v>
      </c>
      <c r="D79" s="6" t="s">
        <v>40</v>
      </c>
      <c r="E79" s="6">
        <v>64.3</v>
      </c>
      <c r="F79" s="6">
        <v>47.3</v>
      </c>
    </row>
    <row r="80" spans="1:6" x14ac:dyDescent="0.3">
      <c r="A80" s="4" t="s">
        <v>33</v>
      </c>
      <c r="B80" s="4">
        <v>168</v>
      </c>
      <c r="C80" s="6" t="s">
        <v>35</v>
      </c>
      <c r="D80" s="6" t="s">
        <v>40</v>
      </c>
      <c r="E80" s="6">
        <v>66.2</v>
      </c>
      <c r="F80" s="6">
        <v>47.3</v>
      </c>
    </row>
    <row r="81" spans="1:6" x14ac:dyDescent="0.3">
      <c r="A81" s="4" t="s">
        <v>33</v>
      </c>
      <c r="B81" s="4">
        <v>239</v>
      </c>
      <c r="C81" s="6" t="s">
        <v>35</v>
      </c>
      <c r="D81" s="6" t="s">
        <v>40</v>
      </c>
      <c r="E81" s="6">
        <v>77</v>
      </c>
      <c r="F81" s="6">
        <v>47.4</v>
      </c>
    </row>
    <row r="82" spans="1:6" x14ac:dyDescent="0.3">
      <c r="A82" s="4" t="s">
        <v>33</v>
      </c>
      <c r="B82" s="4">
        <v>313</v>
      </c>
      <c r="C82" s="6" t="s">
        <v>35</v>
      </c>
      <c r="D82" s="6" t="s">
        <v>40</v>
      </c>
      <c r="E82" s="6">
        <v>70.3</v>
      </c>
      <c r="F82" s="6">
        <v>47.5</v>
      </c>
    </row>
    <row r="83" spans="1:6" x14ac:dyDescent="0.3">
      <c r="A83" s="4" t="s">
        <v>33</v>
      </c>
      <c r="B83" s="4">
        <v>257</v>
      </c>
      <c r="C83" s="6" t="s">
        <v>35</v>
      </c>
      <c r="D83" s="6" t="s">
        <v>40</v>
      </c>
      <c r="E83" s="6">
        <v>74.2</v>
      </c>
      <c r="F83" s="6">
        <v>47.5</v>
      </c>
    </row>
    <row r="84" spans="1:6" x14ac:dyDescent="0.3">
      <c r="A84" s="4" t="s">
        <v>33</v>
      </c>
      <c r="B84" s="4">
        <v>233</v>
      </c>
      <c r="C84" s="6" t="s">
        <v>35</v>
      </c>
      <c r="D84" s="6" t="s">
        <v>40</v>
      </c>
      <c r="E84" s="6">
        <v>74.400000000000006</v>
      </c>
      <c r="F84" s="6">
        <v>47.5</v>
      </c>
    </row>
    <row r="85" spans="1:6" x14ac:dyDescent="0.3">
      <c r="A85" s="4" t="s">
        <v>33</v>
      </c>
      <c r="B85" s="4">
        <v>685</v>
      </c>
      <c r="C85" s="6" t="s">
        <v>35</v>
      </c>
      <c r="D85" s="6" t="s">
        <v>40</v>
      </c>
      <c r="E85" s="6">
        <v>69.8</v>
      </c>
      <c r="F85" s="6">
        <v>48</v>
      </c>
    </row>
    <row r="86" spans="1:6" x14ac:dyDescent="0.3">
      <c r="A86" s="4" t="s">
        <v>33</v>
      </c>
      <c r="B86" s="4">
        <v>1055</v>
      </c>
      <c r="C86" s="6" t="s">
        <v>35</v>
      </c>
      <c r="D86" s="6" t="s">
        <v>40</v>
      </c>
      <c r="E86" s="6">
        <v>73.400000000000006</v>
      </c>
      <c r="F86" s="6">
        <v>48.8</v>
      </c>
    </row>
    <row r="87" spans="1:6" x14ac:dyDescent="0.3">
      <c r="A87" s="4" t="s">
        <v>33</v>
      </c>
      <c r="B87" s="4">
        <v>201</v>
      </c>
      <c r="C87" s="6" t="s">
        <v>35</v>
      </c>
      <c r="D87" s="6" t="s">
        <v>40</v>
      </c>
      <c r="E87" s="6">
        <v>72</v>
      </c>
      <c r="F87" s="6">
        <v>49</v>
      </c>
    </row>
    <row r="88" spans="1:6" x14ac:dyDescent="0.3">
      <c r="A88" s="4" t="s">
        <v>33</v>
      </c>
      <c r="B88" s="4">
        <v>517</v>
      </c>
      <c r="C88" s="6" t="s">
        <v>35</v>
      </c>
      <c r="D88" s="6" t="s">
        <v>40</v>
      </c>
      <c r="E88" s="6">
        <v>60.6</v>
      </c>
      <c r="F88" s="6">
        <v>49.1</v>
      </c>
    </row>
    <row r="89" spans="1:6" x14ac:dyDescent="0.3">
      <c r="A89" s="4" t="s">
        <v>33</v>
      </c>
      <c r="B89" s="4">
        <v>1091</v>
      </c>
      <c r="C89" s="6" t="s">
        <v>35</v>
      </c>
      <c r="D89" s="6" t="s">
        <v>40</v>
      </c>
      <c r="E89" s="6">
        <v>75.8</v>
      </c>
      <c r="F89" s="6">
        <v>49.5</v>
      </c>
    </row>
    <row r="90" spans="1:6" x14ac:dyDescent="0.3">
      <c r="A90" s="4" t="s">
        <v>33</v>
      </c>
      <c r="B90" s="4">
        <v>227</v>
      </c>
      <c r="C90" s="6" t="s">
        <v>35</v>
      </c>
      <c r="D90" s="6" t="s">
        <v>40</v>
      </c>
      <c r="E90" s="6">
        <v>75.5</v>
      </c>
      <c r="F90" s="6">
        <v>49.8</v>
      </c>
    </row>
    <row r="91" spans="1:6" x14ac:dyDescent="0.3">
      <c r="A91" s="4" t="s">
        <v>33</v>
      </c>
      <c r="B91" s="4">
        <v>522</v>
      </c>
      <c r="C91" s="6" t="s">
        <v>35</v>
      </c>
      <c r="D91" s="6" t="s">
        <v>40</v>
      </c>
      <c r="E91" s="6">
        <v>71.099999999999994</v>
      </c>
      <c r="F91" s="6">
        <v>49.9</v>
      </c>
    </row>
    <row r="92" spans="1:6" x14ac:dyDescent="0.3">
      <c r="A92" s="4" t="s">
        <v>33</v>
      </c>
      <c r="B92" s="4">
        <v>376</v>
      </c>
      <c r="C92" s="6" t="s">
        <v>35</v>
      </c>
      <c r="D92" s="6" t="s">
        <v>40</v>
      </c>
      <c r="E92" s="6">
        <v>68.599999999999994</v>
      </c>
      <c r="F92" s="6">
        <v>50</v>
      </c>
    </row>
    <row r="93" spans="1:6" x14ac:dyDescent="0.3">
      <c r="A93" s="4" t="s">
        <v>33</v>
      </c>
      <c r="B93" s="4">
        <v>242</v>
      </c>
      <c r="C93" s="6" t="s">
        <v>35</v>
      </c>
      <c r="D93" s="6" t="s">
        <v>40</v>
      </c>
      <c r="E93" s="6">
        <v>71.599999999999994</v>
      </c>
      <c r="F93" s="6">
        <v>50.1</v>
      </c>
    </row>
    <row r="94" spans="1:6" x14ac:dyDescent="0.3">
      <c r="A94" s="4" t="s">
        <v>33</v>
      </c>
      <c r="B94" s="4">
        <v>381</v>
      </c>
      <c r="C94" s="6" t="s">
        <v>35</v>
      </c>
      <c r="D94" s="6" t="s">
        <v>40</v>
      </c>
      <c r="E94" s="6">
        <v>74</v>
      </c>
      <c r="F94" s="6">
        <v>50.2</v>
      </c>
    </row>
    <row r="95" spans="1:6" x14ac:dyDescent="0.3">
      <c r="A95" s="4" t="s">
        <v>33</v>
      </c>
      <c r="B95" s="4">
        <v>235</v>
      </c>
      <c r="C95" s="6" t="s">
        <v>35</v>
      </c>
      <c r="D95" s="6" t="s">
        <v>40</v>
      </c>
      <c r="E95" s="6">
        <v>73</v>
      </c>
      <c r="F95" s="6">
        <v>50.3</v>
      </c>
    </row>
    <row r="96" spans="1:6" x14ac:dyDescent="0.3">
      <c r="A96" s="4" t="s">
        <v>33</v>
      </c>
      <c r="B96" s="4">
        <v>205</v>
      </c>
      <c r="C96" s="6" t="s">
        <v>35</v>
      </c>
      <c r="D96" s="6" t="s">
        <v>40</v>
      </c>
      <c r="E96" s="6">
        <v>79.400000000000006</v>
      </c>
      <c r="F96" s="6">
        <v>50.6</v>
      </c>
    </row>
    <row r="97" spans="1:6" x14ac:dyDescent="0.3">
      <c r="A97" s="4" t="s">
        <v>33</v>
      </c>
      <c r="B97" s="4">
        <v>601</v>
      </c>
      <c r="C97" s="6" t="s">
        <v>35</v>
      </c>
      <c r="D97" s="6" t="s">
        <v>40</v>
      </c>
      <c r="E97" s="6">
        <v>66.099999999999994</v>
      </c>
      <c r="F97" s="6">
        <v>51.3</v>
      </c>
    </row>
    <row r="98" spans="1:6" x14ac:dyDescent="0.3">
      <c r="A98" s="4" t="s">
        <v>33</v>
      </c>
      <c r="B98" s="4">
        <v>193</v>
      </c>
      <c r="C98" s="6" t="s">
        <v>35</v>
      </c>
      <c r="D98" s="6" t="s">
        <v>40</v>
      </c>
      <c r="E98" s="6">
        <v>72</v>
      </c>
      <c r="F98" s="6">
        <v>52.3</v>
      </c>
    </row>
    <row r="99" spans="1:6" x14ac:dyDescent="0.3">
      <c r="A99" s="4" t="s">
        <v>33</v>
      </c>
      <c r="B99" s="4">
        <v>1092</v>
      </c>
      <c r="C99" s="6" t="s">
        <v>35</v>
      </c>
      <c r="D99" s="6" t="s">
        <v>40</v>
      </c>
      <c r="E99" s="6">
        <v>79.900000000000006</v>
      </c>
      <c r="F99" s="6">
        <v>53.5</v>
      </c>
    </row>
    <row r="100" spans="1:6" x14ac:dyDescent="0.3">
      <c r="A100" s="4" t="s">
        <v>33</v>
      </c>
      <c r="B100" s="4">
        <v>369</v>
      </c>
      <c r="C100" s="6" t="s">
        <v>35</v>
      </c>
      <c r="D100" s="6" t="s">
        <v>40</v>
      </c>
      <c r="E100" s="6">
        <v>83.3</v>
      </c>
      <c r="F100" s="6">
        <v>55.1</v>
      </c>
    </row>
    <row r="101" spans="1:6" x14ac:dyDescent="0.3">
      <c r="A101" s="4" t="s">
        <v>33</v>
      </c>
      <c r="B101" s="4">
        <v>634</v>
      </c>
      <c r="C101" s="6" t="s">
        <v>35</v>
      </c>
      <c r="D101" s="6" t="s">
        <v>40</v>
      </c>
      <c r="E101" s="6">
        <v>78</v>
      </c>
      <c r="F101" s="6">
        <v>55.6</v>
      </c>
    </row>
    <row r="102" spans="1:6" x14ac:dyDescent="0.3">
      <c r="A102" s="4" t="s">
        <v>33</v>
      </c>
      <c r="B102" s="4">
        <v>520</v>
      </c>
      <c r="C102" s="6" t="s">
        <v>35</v>
      </c>
      <c r="D102" s="6" t="s">
        <v>40</v>
      </c>
      <c r="E102" s="6">
        <v>75.599999999999994</v>
      </c>
      <c r="F102" s="6">
        <v>56.7</v>
      </c>
    </row>
    <row r="103" spans="1:6" x14ac:dyDescent="0.3">
      <c r="A103" s="4" t="s">
        <v>33</v>
      </c>
      <c r="B103" s="4">
        <v>202</v>
      </c>
      <c r="C103" s="6" t="s">
        <v>35</v>
      </c>
      <c r="D103" s="6" t="s">
        <v>39</v>
      </c>
      <c r="E103" s="6">
        <v>55.2</v>
      </c>
      <c r="F103" s="6">
        <v>35.4</v>
      </c>
    </row>
    <row r="104" spans="1:6" x14ac:dyDescent="0.3">
      <c r="A104" s="4" t="s">
        <v>33</v>
      </c>
      <c r="B104" s="4">
        <v>169</v>
      </c>
      <c r="C104" s="6" t="s">
        <v>35</v>
      </c>
      <c r="D104" s="6" t="s">
        <v>39</v>
      </c>
      <c r="E104" s="6">
        <v>70.5</v>
      </c>
      <c r="F104" s="6">
        <v>36</v>
      </c>
    </row>
    <row r="105" spans="1:6" x14ac:dyDescent="0.3">
      <c r="A105" s="4" t="s">
        <v>33</v>
      </c>
      <c r="B105" s="4">
        <v>171</v>
      </c>
      <c r="C105" s="6" t="s">
        <v>35</v>
      </c>
      <c r="D105" s="6" t="s">
        <v>39</v>
      </c>
      <c r="E105" s="6">
        <v>60</v>
      </c>
      <c r="F105" s="6">
        <v>43</v>
      </c>
    </row>
    <row r="106" spans="1:6" x14ac:dyDescent="0.3">
      <c r="A106" s="4" t="s">
        <v>33</v>
      </c>
      <c r="B106" s="4">
        <v>186</v>
      </c>
      <c r="C106" s="6" t="s">
        <v>35</v>
      </c>
      <c r="D106" s="6" t="s">
        <v>39</v>
      </c>
      <c r="E106" s="6">
        <v>68.5</v>
      </c>
      <c r="F106" s="6">
        <v>44.3</v>
      </c>
    </row>
    <row r="107" spans="1:6" x14ac:dyDescent="0.3">
      <c r="A107" s="4" t="s">
        <v>33</v>
      </c>
      <c r="B107" s="4">
        <v>266</v>
      </c>
      <c r="C107" s="6" t="s">
        <v>35</v>
      </c>
      <c r="D107" s="6" t="s">
        <v>39</v>
      </c>
      <c r="E107" s="6">
        <v>72.599999999999994</v>
      </c>
      <c r="F107" s="6">
        <v>44.4</v>
      </c>
    </row>
    <row r="108" spans="1:6" x14ac:dyDescent="0.3">
      <c r="A108" s="4" t="s">
        <v>33</v>
      </c>
      <c r="B108" s="4">
        <v>2</v>
      </c>
      <c r="C108" s="6" t="s">
        <v>35</v>
      </c>
      <c r="D108" s="6" t="s">
        <v>39</v>
      </c>
      <c r="E108" s="6">
        <v>60.5</v>
      </c>
      <c r="F108" s="6">
        <v>45</v>
      </c>
    </row>
    <row r="109" spans="1:6" x14ac:dyDescent="0.3">
      <c r="A109" s="4" t="s">
        <v>33</v>
      </c>
      <c r="B109" s="4">
        <v>261</v>
      </c>
      <c r="C109" s="6" t="s">
        <v>35</v>
      </c>
      <c r="D109" s="6" t="s">
        <v>39</v>
      </c>
      <c r="E109" s="6">
        <v>76.5</v>
      </c>
      <c r="F109" s="6">
        <v>45.7</v>
      </c>
    </row>
    <row r="110" spans="1:6" x14ac:dyDescent="0.3">
      <c r="A110" s="4" t="s">
        <v>33</v>
      </c>
      <c r="B110" s="4">
        <v>250</v>
      </c>
      <c r="C110" s="6" t="s">
        <v>35</v>
      </c>
      <c r="D110" s="6" t="s">
        <v>39</v>
      </c>
      <c r="E110" s="6">
        <v>71.8</v>
      </c>
      <c r="F110" s="6">
        <v>46</v>
      </c>
    </row>
    <row r="111" spans="1:6" x14ac:dyDescent="0.3">
      <c r="A111" s="4" t="s">
        <v>33</v>
      </c>
      <c r="B111" s="4">
        <v>1125</v>
      </c>
      <c r="C111" s="6" t="s">
        <v>35</v>
      </c>
      <c r="D111" s="6" t="s">
        <v>39</v>
      </c>
      <c r="E111" s="6">
        <v>69.5</v>
      </c>
      <c r="F111" s="6">
        <v>47.3</v>
      </c>
    </row>
    <row r="112" spans="1:6" x14ac:dyDescent="0.3">
      <c r="A112" s="4" t="s">
        <v>33</v>
      </c>
      <c r="B112" s="4">
        <v>253</v>
      </c>
      <c r="C112" s="6" t="s">
        <v>35</v>
      </c>
      <c r="D112" s="6" t="s">
        <v>39</v>
      </c>
      <c r="E112" s="6">
        <v>73.7</v>
      </c>
      <c r="F112" s="6">
        <v>47.6</v>
      </c>
    </row>
    <row r="113" spans="1:6" x14ac:dyDescent="0.3">
      <c r="A113" s="4" t="s">
        <v>33</v>
      </c>
      <c r="B113" s="4">
        <v>372</v>
      </c>
      <c r="C113" s="6" t="s">
        <v>35</v>
      </c>
      <c r="D113" s="6" t="s">
        <v>39</v>
      </c>
      <c r="E113" s="6">
        <v>71.400000000000006</v>
      </c>
      <c r="F113" s="6">
        <v>47.7</v>
      </c>
    </row>
    <row r="114" spans="1:6" x14ac:dyDescent="0.3">
      <c r="A114" s="4" t="s">
        <v>33</v>
      </c>
      <c r="B114" s="4">
        <v>550</v>
      </c>
      <c r="C114" s="6" t="s">
        <v>35</v>
      </c>
      <c r="D114" s="6" t="s">
        <v>39</v>
      </c>
      <c r="E114" s="6">
        <v>73.2</v>
      </c>
      <c r="F114" s="6">
        <v>48.5</v>
      </c>
    </row>
    <row r="115" spans="1:6" x14ac:dyDescent="0.3">
      <c r="A115" s="4" t="s">
        <v>33</v>
      </c>
      <c r="B115" s="4">
        <v>654</v>
      </c>
      <c r="C115" s="6" t="s">
        <v>35</v>
      </c>
      <c r="D115" s="6" t="s">
        <v>39</v>
      </c>
      <c r="E115" s="6">
        <v>73.400000000000006</v>
      </c>
      <c r="F115" s="6">
        <v>49.2</v>
      </c>
    </row>
    <row r="116" spans="1:6" x14ac:dyDescent="0.3">
      <c r="A116" s="4" t="s">
        <v>33</v>
      </c>
      <c r="B116" s="4">
        <v>547</v>
      </c>
      <c r="C116" s="6" t="s">
        <v>35</v>
      </c>
      <c r="D116" s="6" t="s">
        <v>39</v>
      </c>
      <c r="E116" s="6">
        <v>66.2</v>
      </c>
      <c r="F116" s="6">
        <v>49.4</v>
      </c>
    </row>
    <row r="117" spans="1:6" x14ac:dyDescent="0.3">
      <c r="A117" s="4" t="s">
        <v>33</v>
      </c>
      <c r="B117" s="4">
        <v>393</v>
      </c>
      <c r="C117" s="6" t="s">
        <v>35</v>
      </c>
      <c r="D117" s="6" t="s">
        <v>39</v>
      </c>
      <c r="E117" s="6">
        <v>73</v>
      </c>
      <c r="F117" s="6">
        <v>49.5</v>
      </c>
    </row>
    <row r="118" spans="1:6" x14ac:dyDescent="0.3">
      <c r="A118" s="4" t="s">
        <v>33</v>
      </c>
      <c r="B118" s="4">
        <v>592</v>
      </c>
      <c r="C118" s="6" t="s">
        <v>35</v>
      </c>
      <c r="D118" s="6" t="s">
        <v>39</v>
      </c>
      <c r="E118" s="6">
        <v>72.2</v>
      </c>
      <c r="F118" s="6">
        <v>50.1</v>
      </c>
    </row>
    <row r="119" spans="1:6" x14ac:dyDescent="0.3">
      <c r="A119" s="4" t="s">
        <v>33</v>
      </c>
      <c r="B119" s="4">
        <v>320</v>
      </c>
      <c r="C119" s="6" t="s">
        <v>35</v>
      </c>
      <c r="D119" s="6" t="s">
        <v>39</v>
      </c>
      <c r="E119" s="6">
        <v>80.599999999999994</v>
      </c>
      <c r="F119" s="6">
        <v>50.3</v>
      </c>
    </row>
    <row r="120" spans="1:6" x14ac:dyDescent="0.3">
      <c r="A120" s="4" t="s">
        <v>33</v>
      </c>
      <c r="B120" s="4">
        <v>218</v>
      </c>
      <c r="C120" s="6" t="s">
        <v>35</v>
      </c>
      <c r="D120" s="6" t="s">
        <v>39</v>
      </c>
      <c r="E120" s="6">
        <v>74.5</v>
      </c>
      <c r="F120" s="6">
        <v>50.5</v>
      </c>
    </row>
    <row r="121" spans="1:6" x14ac:dyDescent="0.3">
      <c r="A121" s="4" t="s">
        <v>33</v>
      </c>
      <c r="B121" s="4">
        <v>1046</v>
      </c>
      <c r="C121" s="6" t="s">
        <v>35</v>
      </c>
      <c r="D121" s="6" t="s">
        <v>39</v>
      </c>
      <c r="E121" s="6">
        <v>75.900000000000006</v>
      </c>
      <c r="F121" s="6">
        <v>50.7</v>
      </c>
    </row>
    <row r="122" spans="1:6" x14ac:dyDescent="0.3">
      <c r="A122" s="4" t="s">
        <v>33</v>
      </c>
      <c r="B122" s="4">
        <v>208</v>
      </c>
      <c r="C122" s="6" t="s">
        <v>35</v>
      </c>
      <c r="D122" s="6" t="s">
        <v>39</v>
      </c>
      <c r="E122" s="6">
        <v>69.7</v>
      </c>
      <c r="F122" s="6">
        <v>51</v>
      </c>
    </row>
    <row r="123" spans="1:6" x14ac:dyDescent="0.3">
      <c r="A123" s="4" t="s">
        <v>33</v>
      </c>
      <c r="B123" s="4">
        <v>391</v>
      </c>
      <c r="C123" s="6" t="s">
        <v>35</v>
      </c>
      <c r="D123" s="6" t="s">
        <v>39</v>
      </c>
      <c r="E123" s="6">
        <v>80.7</v>
      </c>
      <c r="F123" s="6">
        <v>51.4</v>
      </c>
    </row>
    <row r="124" spans="1:6" x14ac:dyDescent="0.3">
      <c r="A124" s="4" t="s">
        <v>33</v>
      </c>
      <c r="B124" s="4">
        <v>197</v>
      </c>
      <c r="C124" s="6" t="s">
        <v>35</v>
      </c>
      <c r="D124" s="6" t="s">
        <v>39</v>
      </c>
      <c r="E124" s="6">
        <v>73.7</v>
      </c>
      <c r="F124" s="6">
        <v>51.8</v>
      </c>
    </row>
    <row r="125" spans="1:6" x14ac:dyDescent="0.3">
      <c r="A125" s="4" t="s">
        <v>33</v>
      </c>
      <c r="B125" s="4">
        <v>668</v>
      </c>
      <c r="C125" s="6" t="s">
        <v>35</v>
      </c>
      <c r="D125" s="6" t="s">
        <v>39</v>
      </c>
      <c r="E125" s="6">
        <v>62.2</v>
      </c>
      <c r="F125" s="6">
        <v>52.1</v>
      </c>
    </row>
    <row r="126" spans="1:6" x14ac:dyDescent="0.3">
      <c r="A126" s="4" t="s">
        <v>33</v>
      </c>
      <c r="B126" s="4">
        <v>240</v>
      </c>
      <c r="C126" s="6" t="s">
        <v>35</v>
      </c>
      <c r="D126" s="6" t="s">
        <v>39</v>
      </c>
      <c r="E126" s="6">
        <v>78.400000000000006</v>
      </c>
      <c r="F126" s="6">
        <v>52.2</v>
      </c>
    </row>
    <row r="127" spans="1:6" x14ac:dyDescent="0.3">
      <c r="A127" s="4" t="s">
        <v>33</v>
      </c>
      <c r="B127" s="4">
        <v>474</v>
      </c>
      <c r="C127" s="6" t="s">
        <v>35</v>
      </c>
      <c r="D127" s="6" t="s">
        <v>39</v>
      </c>
      <c r="E127" s="6">
        <v>73.099999999999994</v>
      </c>
      <c r="F127" s="6">
        <v>52.3</v>
      </c>
    </row>
    <row r="128" spans="1:6" x14ac:dyDescent="0.3">
      <c r="A128" s="4" t="s">
        <v>33</v>
      </c>
      <c r="B128" s="4">
        <v>850</v>
      </c>
      <c r="C128" s="6" t="s">
        <v>35</v>
      </c>
      <c r="D128" s="6" t="s">
        <v>39</v>
      </c>
      <c r="E128" s="6">
        <v>79</v>
      </c>
      <c r="F128" s="6">
        <v>52.6</v>
      </c>
    </row>
    <row r="129" spans="1:6" x14ac:dyDescent="0.3">
      <c r="A129" s="4" t="s">
        <v>33</v>
      </c>
      <c r="B129" s="4">
        <v>1043</v>
      </c>
      <c r="C129" s="6" t="s">
        <v>35</v>
      </c>
      <c r="D129" s="6" t="s">
        <v>39</v>
      </c>
      <c r="E129" s="6">
        <v>71.5</v>
      </c>
      <c r="F129" s="6">
        <v>52.7</v>
      </c>
    </row>
    <row r="130" spans="1:6" x14ac:dyDescent="0.3">
      <c r="A130" s="4" t="s">
        <v>33</v>
      </c>
      <c r="B130" s="4">
        <v>414</v>
      </c>
      <c r="C130" s="6" t="s">
        <v>35</v>
      </c>
      <c r="D130" s="6" t="s">
        <v>39</v>
      </c>
      <c r="E130" s="6">
        <v>76.599999999999994</v>
      </c>
      <c r="F130" s="6">
        <v>52.8</v>
      </c>
    </row>
    <row r="131" spans="1:6" x14ac:dyDescent="0.3">
      <c r="A131" s="4" t="s">
        <v>33</v>
      </c>
      <c r="B131" s="4">
        <v>493</v>
      </c>
      <c r="C131" s="6" t="s">
        <v>35</v>
      </c>
      <c r="D131" s="6" t="s">
        <v>39</v>
      </c>
      <c r="E131" s="6">
        <v>77.900000000000006</v>
      </c>
      <c r="F131" s="6">
        <v>52.8</v>
      </c>
    </row>
    <row r="132" spans="1:6" x14ac:dyDescent="0.3">
      <c r="A132" s="4" t="s">
        <v>33</v>
      </c>
      <c r="B132" s="4">
        <v>314</v>
      </c>
      <c r="C132" s="6" t="s">
        <v>35</v>
      </c>
      <c r="D132" s="6" t="s">
        <v>39</v>
      </c>
      <c r="E132" s="6">
        <v>74</v>
      </c>
      <c r="F132" s="6">
        <v>53</v>
      </c>
    </row>
    <row r="133" spans="1:6" x14ac:dyDescent="0.3">
      <c r="A133" s="4" t="s">
        <v>33</v>
      </c>
      <c r="B133" s="4">
        <v>184</v>
      </c>
      <c r="C133" s="6" t="s">
        <v>35</v>
      </c>
      <c r="D133" s="6" t="s">
        <v>39</v>
      </c>
      <c r="E133" s="6">
        <v>80.2</v>
      </c>
      <c r="F133" s="6">
        <v>53</v>
      </c>
    </row>
    <row r="134" spans="1:6" x14ac:dyDescent="0.3">
      <c r="A134" s="4" t="s">
        <v>33</v>
      </c>
      <c r="B134" s="4">
        <v>362</v>
      </c>
      <c r="C134" s="6" t="s">
        <v>35</v>
      </c>
      <c r="D134" s="6" t="s">
        <v>39</v>
      </c>
      <c r="E134" s="6">
        <v>80.8</v>
      </c>
      <c r="F134" s="6">
        <v>53.1</v>
      </c>
    </row>
    <row r="135" spans="1:6" x14ac:dyDescent="0.3">
      <c r="A135" s="4" t="s">
        <v>33</v>
      </c>
      <c r="B135" s="4">
        <v>688</v>
      </c>
      <c r="C135" s="6" t="s">
        <v>35</v>
      </c>
      <c r="D135" s="6" t="s">
        <v>39</v>
      </c>
      <c r="E135" s="6">
        <v>83</v>
      </c>
      <c r="F135" s="6">
        <v>53.6</v>
      </c>
    </row>
    <row r="136" spans="1:6" x14ac:dyDescent="0.3">
      <c r="A136" s="4" t="s">
        <v>33</v>
      </c>
      <c r="B136" s="4">
        <v>244</v>
      </c>
      <c r="C136" s="6" t="s">
        <v>35</v>
      </c>
      <c r="D136" s="6" t="s">
        <v>39</v>
      </c>
      <c r="E136" s="6">
        <v>81.2</v>
      </c>
      <c r="F136" s="6">
        <v>53.7</v>
      </c>
    </row>
    <row r="137" spans="1:6" x14ac:dyDescent="0.3">
      <c r="A137" s="4" t="s">
        <v>33</v>
      </c>
      <c r="B137" s="4">
        <v>216</v>
      </c>
      <c r="C137" s="6" t="s">
        <v>35</v>
      </c>
      <c r="D137" s="6" t="s">
        <v>39</v>
      </c>
      <c r="E137" s="6">
        <v>80.2</v>
      </c>
      <c r="F137" s="6">
        <v>54</v>
      </c>
    </row>
    <row r="138" spans="1:6" x14ac:dyDescent="0.3">
      <c r="A138" s="4" t="s">
        <v>33</v>
      </c>
      <c r="B138" s="4">
        <v>303</v>
      </c>
      <c r="C138" s="6" t="s">
        <v>35</v>
      </c>
      <c r="D138" s="6" t="s">
        <v>39</v>
      </c>
      <c r="E138" s="6">
        <v>77</v>
      </c>
      <c r="F138" s="6">
        <v>54.2</v>
      </c>
    </row>
    <row r="139" spans="1:6" x14ac:dyDescent="0.3">
      <c r="A139" s="4" t="s">
        <v>33</v>
      </c>
      <c r="B139" s="4">
        <v>418</v>
      </c>
      <c r="C139" s="6" t="s">
        <v>35</v>
      </c>
      <c r="D139" s="6" t="s">
        <v>39</v>
      </c>
      <c r="E139" s="6">
        <v>76</v>
      </c>
      <c r="F139" s="6">
        <v>54.4</v>
      </c>
    </row>
    <row r="140" spans="1:6" x14ac:dyDescent="0.3">
      <c r="A140" s="4" t="s">
        <v>33</v>
      </c>
      <c r="B140" s="4">
        <v>298</v>
      </c>
      <c r="C140" s="6" t="s">
        <v>35</v>
      </c>
      <c r="D140" s="6" t="s">
        <v>39</v>
      </c>
      <c r="E140" s="6">
        <v>76.400000000000006</v>
      </c>
      <c r="F140" s="6">
        <v>54.5</v>
      </c>
    </row>
    <row r="141" spans="1:6" x14ac:dyDescent="0.3">
      <c r="A141" s="4" t="s">
        <v>33</v>
      </c>
      <c r="B141" s="4">
        <v>1120</v>
      </c>
      <c r="C141" s="6" t="s">
        <v>35</v>
      </c>
      <c r="D141" s="6" t="s">
        <v>39</v>
      </c>
      <c r="E141" s="6">
        <v>78.900000000000006</v>
      </c>
      <c r="F141" s="6">
        <v>54.5</v>
      </c>
    </row>
    <row r="142" spans="1:6" x14ac:dyDescent="0.3">
      <c r="A142" s="4" t="s">
        <v>33</v>
      </c>
      <c r="B142" s="4">
        <v>302</v>
      </c>
      <c r="C142" s="6" t="s">
        <v>35</v>
      </c>
      <c r="D142" s="6" t="s">
        <v>39</v>
      </c>
      <c r="E142" s="6">
        <v>83.3</v>
      </c>
      <c r="F142" s="6">
        <v>54.5</v>
      </c>
    </row>
    <row r="143" spans="1:6" x14ac:dyDescent="0.3">
      <c r="A143" s="4" t="s">
        <v>33</v>
      </c>
      <c r="B143" s="4">
        <v>653</v>
      </c>
      <c r="C143" s="6" t="s">
        <v>35</v>
      </c>
      <c r="D143" s="6" t="s">
        <v>39</v>
      </c>
      <c r="E143" s="6">
        <v>82.7</v>
      </c>
      <c r="F143" s="6">
        <v>54.9</v>
      </c>
    </row>
    <row r="144" spans="1:6" x14ac:dyDescent="0.3">
      <c r="A144" s="4" t="s">
        <v>33</v>
      </c>
      <c r="B144" s="4">
        <v>295</v>
      </c>
      <c r="C144" s="6" t="s">
        <v>35</v>
      </c>
      <c r="D144" s="6" t="s">
        <v>39</v>
      </c>
      <c r="E144" s="6">
        <v>86</v>
      </c>
      <c r="F144" s="6">
        <v>54.9</v>
      </c>
    </row>
    <row r="145" spans="1:6" x14ac:dyDescent="0.3">
      <c r="A145" s="4" t="s">
        <v>33</v>
      </c>
      <c r="B145" s="4">
        <v>316</v>
      </c>
      <c r="C145" s="6" t="s">
        <v>35</v>
      </c>
      <c r="D145" s="6" t="s">
        <v>39</v>
      </c>
      <c r="E145" s="6">
        <v>78</v>
      </c>
      <c r="F145" s="6">
        <v>55</v>
      </c>
    </row>
    <row r="146" spans="1:6" x14ac:dyDescent="0.3">
      <c r="A146" s="4" t="s">
        <v>33</v>
      </c>
      <c r="B146" s="4">
        <v>1119</v>
      </c>
      <c r="C146" s="6" t="s">
        <v>35</v>
      </c>
      <c r="D146" s="6" t="s">
        <v>39</v>
      </c>
      <c r="E146" s="6">
        <v>69.599999999999994</v>
      </c>
      <c r="F146" s="6">
        <v>55.4</v>
      </c>
    </row>
    <row r="147" spans="1:6" x14ac:dyDescent="0.3">
      <c r="A147" s="4" t="s">
        <v>33</v>
      </c>
      <c r="B147" s="4">
        <v>165</v>
      </c>
      <c r="C147" s="6" t="s">
        <v>35</v>
      </c>
      <c r="D147" s="6" t="s">
        <v>39</v>
      </c>
      <c r="E147" s="6">
        <v>86</v>
      </c>
      <c r="F147" s="6">
        <v>55.5</v>
      </c>
    </row>
    <row r="148" spans="1:6" x14ac:dyDescent="0.3">
      <c r="A148" s="4" t="s">
        <v>33</v>
      </c>
      <c r="B148" s="4">
        <v>351</v>
      </c>
      <c r="C148" s="6" t="s">
        <v>35</v>
      </c>
      <c r="D148" s="6" t="s">
        <v>39</v>
      </c>
      <c r="E148" s="6">
        <v>85.4</v>
      </c>
      <c r="F148" s="6">
        <v>55.6</v>
      </c>
    </row>
    <row r="149" spans="1:6" x14ac:dyDescent="0.3">
      <c r="A149" s="4" t="s">
        <v>33</v>
      </c>
      <c r="B149" s="4">
        <v>395</v>
      </c>
      <c r="C149" s="6" t="s">
        <v>35</v>
      </c>
      <c r="D149" s="6" t="s">
        <v>39</v>
      </c>
      <c r="E149" s="6">
        <v>74.599999999999994</v>
      </c>
      <c r="F149" s="6">
        <v>55.8</v>
      </c>
    </row>
    <row r="150" spans="1:6" x14ac:dyDescent="0.3">
      <c r="A150" s="4" t="s">
        <v>33</v>
      </c>
      <c r="B150" s="4">
        <v>375</v>
      </c>
      <c r="C150" s="6" t="s">
        <v>35</v>
      </c>
      <c r="D150" s="6" t="s">
        <v>39</v>
      </c>
      <c r="E150" s="6">
        <v>85.4</v>
      </c>
      <c r="F150" s="6">
        <v>55.9</v>
      </c>
    </row>
    <row r="151" spans="1:6" x14ac:dyDescent="0.3">
      <c r="A151" s="4" t="s">
        <v>33</v>
      </c>
      <c r="B151" s="4">
        <v>263</v>
      </c>
      <c r="C151" s="6" t="s">
        <v>35</v>
      </c>
      <c r="D151" s="6" t="s">
        <v>39</v>
      </c>
      <c r="E151" s="6">
        <v>87.5</v>
      </c>
      <c r="F151" s="6">
        <v>56.1</v>
      </c>
    </row>
    <row r="152" spans="1:6" x14ac:dyDescent="0.3">
      <c r="A152" s="4" t="s">
        <v>33</v>
      </c>
      <c r="B152" s="4">
        <v>691</v>
      </c>
      <c r="C152" s="6" t="s">
        <v>35</v>
      </c>
      <c r="D152" s="6" t="s">
        <v>39</v>
      </c>
      <c r="E152" s="6">
        <v>74.099999999999994</v>
      </c>
      <c r="F152" s="6">
        <v>56.2</v>
      </c>
    </row>
    <row r="153" spans="1:6" x14ac:dyDescent="0.3">
      <c r="A153" s="4" t="s">
        <v>33</v>
      </c>
      <c r="B153" s="4">
        <v>1121</v>
      </c>
      <c r="C153" s="6" t="s">
        <v>35</v>
      </c>
      <c r="D153" s="6" t="s">
        <v>39</v>
      </c>
      <c r="E153" s="6">
        <v>85.1</v>
      </c>
      <c r="F153" s="6">
        <v>56.2</v>
      </c>
    </row>
    <row r="154" spans="1:6" x14ac:dyDescent="0.3">
      <c r="A154" s="4" t="s">
        <v>33</v>
      </c>
      <c r="B154" s="4">
        <v>273</v>
      </c>
      <c r="C154" s="6" t="s">
        <v>35</v>
      </c>
      <c r="D154" s="6" t="s">
        <v>39</v>
      </c>
      <c r="E154" s="6">
        <v>87.5</v>
      </c>
      <c r="F154" s="6">
        <v>56.4</v>
      </c>
    </row>
    <row r="155" spans="1:6" x14ac:dyDescent="0.3">
      <c r="A155" s="4" t="s">
        <v>33</v>
      </c>
      <c r="B155" s="4">
        <v>650</v>
      </c>
      <c r="C155" s="6" t="s">
        <v>35</v>
      </c>
      <c r="D155" s="6" t="s">
        <v>39</v>
      </c>
      <c r="E155" s="6">
        <v>71.7</v>
      </c>
      <c r="F155" s="6">
        <v>56.5</v>
      </c>
    </row>
    <row r="156" spans="1:6" x14ac:dyDescent="0.3">
      <c r="A156" s="4" t="s">
        <v>33</v>
      </c>
      <c r="B156" s="4">
        <v>1094</v>
      </c>
      <c r="C156" s="6" t="s">
        <v>35</v>
      </c>
      <c r="D156" s="6" t="s">
        <v>39</v>
      </c>
      <c r="E156" s="6">
        <v>82.4</v>
      </c>
      <c r="F156" s="6">
        <v>56.5</v>
      </c>
    </row>
    <row r="157" spans="1:6" x14ac:dyDescent="0.3">
      <c r="A157" s="4" t="s">
        <v>33</v>
      </c>
      <c r="B157" s="4">
        <v>1124</v>
      </c>
      <c r="C157" s="6" t="s">
        <v>35</v>
      </c>
      <c r="D157" s="6" t="s">
        <v>39</v>
      </c>
      <c r="E157" s="6">
        <v>84.5</v>
      </c>
      <c r="F157" s="6">
        <v>56.6</v>
      </c>
    </row>
    <row r="158" spans="1:6" x14ac:dyDescent="0.3">
      <c r="A158" s="4" t="s">
        <v>33</v>
      </c>
      <c r="B158" s="4">
        <v>1050</v>
      </c>
      <c r="C158" s="6" t="s">
        <v>35</v>
      </c>
      <c r="D158" s="6" t="s">
        <v>39</v>
      </c>
      <c r="E158" s="6">
        <v>86.2</v>
      </c>
      <c r="F158" s="6">
        <v>57.1</v>
      </c>
    </row>
    <row r="159" spans="1:6" x14ac:dyDescent="0.3">
      <c r="A159" s="4" t="s">
        <v>33</v>
      </c>
      <c r="B159" s="4">
        <v>1056</v>
      </c>
      <c r="C159" s="6" t="s">
        <v>35</v>
      </c>
      <c r="D159" s="6" t="s">
        <v>39</v>
      </c>
      <c r="E159" s="6">
        <v>74.5</v>
      </c>
      <c r="F159" s="6">
        <v>57.2</v>
      </c>
    </row>
    <row r="160" spans="1:6" x14ac:dyDescent="0.3">
      <c r="A160" s="4" t="s">
        <v>33</v>
      </c>
      <c r="B160" s="4">
        <v>326</v>
      </c>
      <c r="C160" s="6" t="s">
        <v>35</v>
      </c>
      <c r="D160" s="6" t="s">
        <v>39</v>
      </c>
      <c r="E160" s="6">
        <v>82.4</v>
      </c>
      <c r="F160" s="6">
        <v>57.5</v>
      </c>
    </row>
    <row r="161" spans="1:6" x14ac:dyDescent="0.3">
      <c r="A161" s="4" t="s">
        <v>33</v>
      </c>
      <c r="B161" s="4">
        <v>392</v>
      </c>
      <c r="C161" s="6" t="s">
        <v>35</v>
      </c>
      <c r="D161" s="6" t="s">
        <v>39</v>
      </c>
      <c r="E161" s="6">
        <v>82.4</v>
      </c>
      <c r="F161" s="6">
        <v>57.5</v>
      </c>
    </row>
    <row r="162" spans="1:6" x14ac:dyDescent="0.3">
      <c r="A162" s="4" t="s">
        <v>33</v>
      </c>
      <c r="B162" s="4">
        <v>396</v>
      </c>
      <c r="C162" s="6" t="s">
        <v>35</v>
      </c>
      <c r="D162" s="6" t="s">
        <v>39</v>
      </c>
      <c r="E162" s="6">
        <v>80.8</v>
      </c>
      <c r="F162" s="6">
        <v>57.6</v>
      </c>
    </row>
    <row r="163" spans="1:6" x14ac:dyDescent="0.3">
      <c r="A163" s="4" t="s">
        <v>33</v>
      </c>
      <c r="B163" s="4">
        <v>652</v>
      </c>
      <c r="C163" s="6" t="s">
        <v>35</v>
      </c>
      <c r="D163" s="6" t="s">
        <v>39</v>
      </c>
      <c r="E163" s="6">
        <v>85.5</v>
      </c>
      <c r="F163" s="6">
        <v>57.7</v>
      </c>
    </row>
    <row r="164" spans="1:6" x14ac:dyDescent="0.3">
      <c r="A164" s="4" t="s">
        <v>33</v>
      </c>
      <c r="B164" s="4">
        <v>215</v>
      </c>
      <c r="C164" s="6" t="s">
        <v>35</v>
      </c>
      <c r="D164" s="6" t="s">
        <v>39</v>
      </c>
      <c r="E164" s="6">
        <v>71.5</v>
      </c>
      <c r="F164" s="6">
        <v>58</v>
      </c>
    </row>
    <row r="165" spans="1:6" x14ac:dyDescent="0.3">
      <c r="A165" s="4" t="s">
        <v>33</v>
      </c>
      <c r="B165" s="4">
        <v>159</v>
      </c>
      <c r="C165" s="6" t="s">
        <v>35</v>
      </c>
      <c r="D165" s="6" t="s">
        <v>39</v>
      </c>
      <c r="E165" s="6">
        <v>72</v>
      </c>
      <c r="F165" s="6">
        <v>58</v>
      </c>
    </row>
    <row r="166" spans="1:6" x14ac:dyDescent="0.3">
      <c r="A166" s="4" t="s">
        <v>33</v>
      </c>
      <c r="B166" s="4">
        <v>214</v>
      </c>
      <c r="C166" s="6" t="s">
        <v>35</v>
      </c>
      <c r="D166" s="6" t="s">
        <v>39</v>
      </c>
      <c r="E166" s="6">
        <v>82</v>
      </c>
      <c r="F166" s="6">
        <v>58</v>
      </c>
    </row>
    <row r="167" spans="1:6" x14ac:dyDescent="0.3">
      <c r="A167" s="4" t="s">
        <v>33</v>
      </c>
      <c r="B167" s="4">
        <v>398</v>
      </c>
      <c r="C167" s="6" t="s">
        <v>35</v>
      </c>
      <c r="D167" s="6" t="s">
        <v>39</v>
      </c>
      <c r="E167" s="6">
        <v>76.599999999999994</v>
      </c>
      <c r="F167" s="6">
        <v>58.2</v>
      </c>
    </row>
    <row r="168" spans="1:6" x14ac:dyDescent="0.3">
      <c r="A168" s="4" t="s">
        <v>33</v>
      </c>
      <c r="B168" s="4">
        <v>10</v>
      </c>
      <c r="C168" s="6" t="s">
        <v>35</v>
      </c>
      <c r="D168" s="6" t="s">
        <v>39</v>
      </c>
      <c r="E168" s="6">
        <v>74.900000000000006</v>
      </c>
      <c r="F168" s="6">
        <v>58.6</v>
      </c>
    </row>
    <row r="169" spans="1:6" x14ac:dyDescent="0.3">
      <c r="A169" s="4" t="s">
        <v>33</v>
      </c>
      <c r="B169" s="4">
        <v>1044</v>
      </c>
      <c r="C169" s="6" t="s">
        <v>35</v>
      </c>
      <c r="D169" s="6" t="s">
        <v>39</v>
      </c>
      <c r="E169" s="6">
        <v>82.9</v>
      </c>
      <c r="F169" s="6">
        <v>58.7</v>
      </c>
    </row>
    <row r="170" spans="1:6" x14ac:dyDescent="0.3">
      <c r="A170" s="4" t="s">
        <v>33</v>
      </c>
      <c r="B170" s="4">
        <v>256</v>
      </c>
      <c r="C170" s="6" t="s">
        <v>35</v>
      </c>
      <c r="D170" s="6" t="s">
        <v>39</v>
      </c>
      <c r="E170" s="6">
        <v>85.11</v>
      </c>
      <c r="F170" s="6">
        <v>59.2</v>
      </c>
    </row>
    <row r="171" spans="1:6" x14ac:dyDescent="0.3">
      <c r="A171" s="4" t="s">
        <v>33</v>
      </c>
      <c r="B171" s="4">
        <v>385</v>
      </c>
      <c r="C171" s="6" t="s">
        <v>35</v>
      </c>
      <c r="D171" s="6" t="s">
        <v>39</v>
      </c>
      <c r="E171" s="6">
        <v>85.7</v>
      </c>
      <c r="F171" s="6">
        <v>59.2</v>
      </c>
    </row>
    <row r="172" spans="1:6" x14ac:dyDescent="0.3">
      <c r="A172" s="4" t="s">
        <v>33</v>
      </c>
      <c r="B172" s="4">
        <v>966</v>
      </c>
      <c r="C172" s="6" t="s">
        <v>35</v>
      </c>
      <c r="D172" s="6" t="s">
        <v>39</v>
      </c>
      <c r="E172" s="6">
        <v>88.4</v>
      </c>
      <c r="F172" s="6">
        <v>59.7</v>
      </c>
    </row>
    <row r="173" spans="1:6" x14ac:dyDescent="0.3">
      <c r="A173" s="4" t="s">
        <v>33</v>
      </c>
      <c r="B173" s="4">
        <v>306</v>
      </c>
      <c r="C173" s="6" t="s">
        <v>35</v>
      </c>
      <c r="D173" s="6" t="s">
        <v>39</v>
      </c>
      <c r="E173" s="6">
        <v>85.2</v>
      </c>
      <c r="F173" s="6">
        <v>59.9</v>
      </c>
    </row>
    <row r="174" spans="1:6" x14ac:dyDescent="0.3">
      <c r="A174" s="4" t="s">
        <v>33</v>
      </c>
      <c r="B174" s="4">
        <v>1048</v>
      </c>
      <c r="C174" s="6" t="s">
        <v>35</v>
      </c>
      <c r="D174" s="6" t="s">
        <v>39</v>
      </c>
      <c r="E174" s="6">
        <v>82.6</v>
      </c>
      <c r="F174" s="6">
        <v>60.1</v>
      </c>
    </row>
    <row r="175" spans="1:6" x14ac:dyDescent="0.3">
      <c r="A175" s="4" t="s">
        <v>33</v>
      </c>
      <c r="B175" s="4">
        <v>540</v>
      </c>
      <c r="C175" s="6" t="s">
        <v>35</v>
      </c>
      <c r="D175" s="6" t="s">
        <v>39</v>
      </c>
      <c r="E175" s="6">
        <v>84.5</v>
      </c>
      <c r="F175" s="6">
        <v>60.1</v>
      </c>
    </row>
    <row r="176" spans="1:6" x14ac:dyDescent="0.3">
      <c r="A176" s="4" t="s">
        <v>33</v>
      </c>
      <c r="B176" s="4">
        <v>544</v>
      </c>
      <c r="C176" s="6" t="s">
        <v>35</v>
      </c>
      <c r="D176" s="6" t="s">
        <v>39</v>
      </c>
      <c r="E176" s="6">
        <v>92.1</v>
      </c>
      <c r="F176" s="6">
        <v>60.6</v>
      </c>
    </row>
    <row r="177" spans="1:6" x14ac:dyDescent="0.3">
      <c r="A177" s="4" t="s">
        <v>33</v>
      </c>
      <c r="B177" s="4">
        <v>1045</v>
      </c>
      <c r="C177" s="6" t="s">
        <v>35</v>
      </c>
      <c r="D177" s="6" t="s">
        <v>39</v>
      </c>
      <c r="E177" s="6">
        <v>87.4</v>
      </c>
      <c r="F177" s="6">
        <v>60.7</v>
      </c>
    </row>
    <row r="178" spans="1:6" x14ac:dyDescent="0.3">
      <c r="A178" s="4" t="s">
        <v>33</v>
      </c>
      <c r="B178" s="4">
        <v>965</v>
      </c>
      <c r="C178" s="6" t="s">
        <v>35</v>
      </c>
      <c r="D178" s="6" t="s">
        <v>39</v>
      </c>
      <c r="E178" s="6">
        <v>87.2</v>
      </c>
      <c r="F178" s="6">
        <v>60.8</v>
      </c>
    </row>
    <row r="179" spans="1:6" x14ac:dyDescent="0.3">
      <c r="A179" s="4" t="s">
        <v>33</v>
      </c>
      <c r="B179" s="4">
        <v>844</v>
      </c>
      <c r="C179" s="6" t="s">
        <v>35</v>
      </c>
      <c r="D179" s="6" t="s">
        <v>39</v>
      </c>
      <c r="E179" s="6">
        <v>93</v>
      </c>
      <c r="F179" s="6">
        <v>61.1</v>
      </c>
    </row>
    <row r="180" spans="1:6" x14ac:dyDescent="0.3">
      <c r="A180" s="4" t="s">
        <v>33</v>
      </c>
      <c r="B180" s="4">
        <v>181</v>
      </c>
      <c r="C180" s="6" t="s">
        <v>35</v>
      </c>
      <c r="D180" s="6" t="s">
        <v>39</v>
      </c>
      <c r="E180" s="6">
        <v>90.5</v>
      </c>
      <c r="F180" s="6">
        <v>61.2</v>
      </c>
    </row>
    <row r="181" spans="1:6" x14ac:dyDescent="0.3">
      <c r="A181" s="4" t="s">
        <v>33</v>
      </c>
      <c r="B181" s="4">
        <v>390</v>
      </c>
      <c r="C181" s="6" t="s">
        <v>35</v>
      </c>
      <c r="D181" s="6" t="s">
        <v>39</v>
      </c>
      <c r="E181" s="6">
        <v>93.6</v>
      </c>
      <c r="F181" s="6">
        <v>61.3</v>
      </c>
    </row>
    <row r="182" spans="1:6" x14ac:dyDescent="0.3">
      <c r="A182" s="4" t="s">
        <v>33</v>
      </c>
      <c r="B182" s="4">
        <v>1122</v>
      </c>
      <c r="C182" s="6" t="s">
        <v>35</v>
      </c>
      <c r="D182" s="6" t="s">
        <v>39</v>
      </c>
      <c r="E182" s="6">
        <v>88</v>
      </c>
      <c r="F182" s="6">
        <v>61.5</v>
      </c>
    </row>
    <row r="183" spans="1:6" x14ac:dyDescent="0.3">
      <c r="A183" s="4" t="s">
        <v>33</v>
      </c>
      <c r="B183" s="4">
        <v>384</v>
      </c>
      <c r="C183" s="6" t="s">
        <v>35</v>
      </c>
      <c r="D183" s="6" t="s">
        <v>39</v>
      </c>
      <c r="E183" s="6">
        <v>90</v>
      </c>
      <c r="F183" s="6">
        <v>61.5</v>
      </c>
    </row>
    <row r="184" spans="1:6" x14ac:dyDescent="0.3">
      <c r="A184" s="4" t="s">
        <v>33</v>
      </c>
      <c r="B184" s="4">
        <v>188</v>
      </c>
      <c r="C184" s="6" t="s">
        <v>35</v>
      </c>
      <c r="D184" s="6" t="s">
        <v>39</v>
      </c>
      <c r="E184" s="6">
        <v>85.7</v>
      </c>
      <c r="F184" s="6">
        <v>62.5</v>
      </c>
    </row>
    <row r="185" spans="1:6" x14ac:dyDescent="0.3">
      <c r="A185" s="4" t="s">
        <v>33</v>
      </c>
      <c r="B185" s="4">
        <v>358</v>
      </c>
      <c r="C185" s="6" t="s">
        <v>35</v>
      </c>
      <c r="D185" s="6" t="s">
        <v>39</v>
      </c>
      <c r="E185" s="6">
        <v>91.3</v>
      </c>
      <c r="F185" s="6">
        <v>62.5</v>
      </c>
    </row>
    <row r="186" spans="1:6" x14ac:dyDescent="0.3">
      <c r="A186" s="4" t="s">
        <v>33</v>
      </c>
      <c r="B186" s="4">
        <v>641</v>
      </c>
      <c r="C186" s="6" t="s">
        <v>35</v>
      </c>
      <c r="D186" s="6" t="s">
        <v>39</v>
      </c>
      <c r="E186" s="6">
        <v>84.4</v>
      </c>
      <c r="F186" s="6">
        <v>62.7</v>
      </c>
    </row>
    <row r="187" spans="1:6" x14ac:dyDescent="0.3">
      <c r="A187" s="4" t="s">
        <v>33</v>
      </c>
      <c r="B187" s="4">
        <v>516</v>
      </c>
      <c r="C187" s="6" t="s">
        <v>35</v>
      </c>
      <c r="D187" s="6" t="s">
        <v>39</v>
      </c>
      <c r="E187" s="6">
        <v>91.8</v>
      </c>
      <c r="F187" s="6">
        <v>62.9</v>
      </c>
    </row>
    <row r="188" spans="1:6" x14ac:dyDescent="0.3">
      <c r="A188" s="4" t="s">
        <v>33</v>
      </c>
      <c r="B188" s="4">
        <v>538</v>
      </c>
      <c r="C188" s="6" t="s">
        <v>35</v>
      </c>
      <c r="D188" s="6" t="s">
        <v>39</v>
      </c>
      <c r="E188" s="6">
        <v>90.3</v>
      </c>
      <c r="F188" s="6">
        <v>63.3</v>
      </c>
    </row>
    <row r="189" spans="1:6" x14ac:dyDescent="0.3">
      <c r="A189" s="4" t="s">
        <v>33</v>
      </c>
      <c r="B189" s="4">
        <v>378</v>
      </c>
      <c r="C189" s="6" t="s">
        <v>35</v>
      </c>
      <c r="D189" s="6" t="s">
        <v>39</v>
      </c>
      <c r="E189" s="6">
        <v>93.6</v>
      </c>
      <c r="F189" s="6">
        <v>63.3</v>
      </c>
    </row>
    <row r="190" spans="1:6" x14ac:dyDescent="0.3">
      <c r="A190" s="4" t="s">
        <v>33</v>
      </c>
      <c r="B190" s="4">
        <v>535</v>
      </c>
      <c r="C190" s="6" t="s">
        <v>35</v>
      </c>
      <c r="D190" s="6" t="s">
        <v>39</v>
      </c>
      <c r="E190" s="6">
        <v>89.7</v>
      </c>
      <c r="F190" s="6">
        <v>63.4</v>
      </c>
    </row>
    <row r="191" spans="1:6" x14ac:dyDescent="0.3">
      <c r="A191" s="4" t="s">
        <v>33</v>
      </c>
      <c r="B191" s="4">
        <v>536</v>
      </c>
      <c r="C191" s="6" t="s">
        <v>35</v>
      </c>
      <c r="D191" s="6" t="s">
        <v>39</v>
      </c>
      <c r="E191" s="6">
        <v>78.8</v>
      </c>
      <c r="F191" s="6">
        <v>63.5</v>
      </c>
    </row>
    <row r="192" spans="1:6" x14ac:dyDescent="0.3">
      <c r="A192" s="4" t="s">
        <v>33</v>
      </c>
      <c r="B192" s="4">
        <v>211</v>
      </c>
      <c r="C192" s="6" t="s">
        <v>35</v>
      </c>
      <c r="D192" s="6" t="s">
        <v>39</v>
      </c>
      <c r="E192" s="6">
        <v>88</v>
      </c>
      <c r="F192" s="6">
        <v>63.5</v>
      </c>
    </row>
    <row r="193" spans="1:6" x14ac:dyDescent="0.3">
      <c r="A193" s="4" t="s">
        <v>33</v>
      </c>
      <c r="B193" s="4">
        <v>642</v>
      </c>
      <c r="C193" s="6" t="s">
        <v>35</v>
      </c>
      <c r="D193" s="6" t="s">
        <v>39</v>
      </c>
      <c r="E193" s="6">
        <v>92.5</v>
      </c>
      <c r="F193" s="6">
        <v>64.3</v>
      </c>
    </row>
    <row r="194" spans="1:6" x14ac:dyDescent="0.3">
      <c r="A194" s="4" t="s">
        <v>33</v>
      </c>
      <c r="B194" s="4">
        <v>885</v>
      </c>
      <c r="C194" s="6" t="s">
        <v>35</v>
      </c>
      <c r="D194" s="6" t="s">
        <v>39</v>
      </c>
      <c r="E194" s="6">
        <v>93.7</v>
      </c>
      <c r="F194" s="6">
        <v>64.3</v>
      </c>
    </row>
    <row r="195" spans="1:6" x14ac:dyDescent="0.3">
      <c r="A195" s="4" t="s">
        <v>33</v>
      </c>
      <c r="B195" s="4">
        <v>394</v>
      </c>
      <c r="C195" s="6" t="s">
        <v>35</v>
      </c>
      <c r="D195" s="6" t="s">
        <v>39</v>
      </c>
      <c r="E195" s="6">
        <v>86.9</v>
      </c>
      <c r="F195" s="6">
        <v>64.599999999999994</v>
      </c>
    </row>
    <row r="196" spans="1:6" x14ac:dyDescent="0.3">
      <c r="A196" s="4" t="s">
        <v>33</v>
      </c>
      <c r="B196" s="4">
        <v>1106</v>
      </c>
      <c r="C196" s="6" t="s">
        <v>35</v>
      </c>
      <c r="D196" s="6" t="s">
        <v>39</v>
      </c>
      <c r="E196" s="6">
        <v>88.3</v>
      </c>
      <c r="F196" s="6">
        <v>65</v>
      </c>
    </row>
    <row r="197" spans="1:6" x14ac:dyDescent="0.3">
      <c r="A197" s="4" t="s">
        <v>33</v>
      </c>
      <c r="B197" s="4">
        <v>651</v>
      </c>
      <c r="C197" s="6" t="s">
        <v>35</v>
      </c>
      <c r="D197" s="6" t="s">
        <v>39</v>
      </c>
      <c r="E197" s="6">
        <v>89.3</v>
      </c>
      <c r="F197" s="6">
        <v>65.3</v>
      </c>
    </row>
    <row r="198" spans="1:6" x14ac:dyDescent="0.3">
      <c r="A198" s="4" t="s">
        <v>33</v>
      </c>
      <c r="B198" s="4">
        <v>519</v>
      </c>
      <c r="C198" s="6" t="s">
        <v>35</v>
      </c>
      <c r="D198" s="6" t="s">
        <v>39</v>
      </c>
      <c r="E198" s="6">
        <v>88.4</v>
      </c>
      <c r="F198" s="6">
        <v>66.5</v>
      </c>
    </row>
    <row r="199" spans="1:6" x14ac:dyDescent="0.3">
      <c r="A199" s="4" t="s">
        <v>33</v>
      </c>
      <c r="B199" s="4">
        <v>411</v>
      </c>
      <c r="C199" s="6" t="s">
        <v>35</v>
      </c>
      <c r="D199" s="6" t="s">
        <v>39</v>
      </c>
      <c r="E199" s="6">
        <v>97</v>
      </c>
      <c r="F199" s="6">
        <v>66.599999999999994</v>
      </c>
    </row>
    <row r="200" spans="1:6" x14ac:dyDescent="0.3">
      <c r="A200" s="4" t="s">
        <v>33</v>
      </c>
      <c r="B200" s="4">
        <v>1095</v>
      </c>
      <c r="C200" s="6" t="s">
        <v>35</v>
      </c>
      <c r="D200" s="6" t="s">
        <v>39</v>
      </c>
      <c r="E200" s="6">
        <v>85.9</v>
      </c>
      <c r="F200" s="6">
        <v>68.099999999999994</v>
      </c>
    </row>
    <row r="201" spans="1:6" x14ac:dyDescent="0.3">
      <c r="A201" s="4" t="s">
        <v>33</v>
      </c>
      <c r="B201" s="4">
        <v>1083</v>
      </c>
      <c r="C201" s="6" t="s">
        <v>35</v>
      </c>
      <c r="D201" s="6" t="s">
        <v>39</v>
      </c>
      <c r="E201" s="6">
        <v>108.3</v>
      </c>
      <c r="F201" s="6">
        <v>77.8</v>
      </c>
    </row>
    <row r="202" spans="1:6" x14ac:dyDescent="0.3">
      <c r="A202" s="4" t="s">
        <v>33</v>
      </c>
      <c r="B202" s="4">
        <v>1117</v>
      </c>
      <c r="C202" s="6" t="s">
        <v>35</v>
      </c>
      <c r="D202" s="6" t="s">
        <v>39</v>
      </c>
      <c r="E202" s="6">
        <v>90.2</v>
      </c>
      <c r="F202" s="6">
        <v>86.2</v>
      </c>
    </row>
    <row r="203" spans="1:6" s="26" customFormat="1" x14ac:dyDescent="0.3">
      <c r="A203" s="20" t="s">
        <v>33</v>
      </c>
      <c r="B203" s="20">
        <v>610</v>
      </c>
      <c r="C203" s="21" t="s">
        <v>44</v>
      </c>
      <c r="D203" s="21" t="s">
        <v>40</v>
      </c>
      <c r="E203" s="21">
        <v>15.2</v>
      </c>
      <c r="F203" s="21">
        <v>8.9600000000000009</v>
      </c>
    </row>
    <row r="204" spans="1:6" x14ac:dyDescent="0.3">
      <c r="A204" s="4" t="s">
        <v>33</v>
      </c>
      <c r="B204" s="4">
        <v>808</v>
      </c>
      <c r="C204" s="6" t="s">
        <v>44</v>
      </c>
      <c r="D204" s="6" t="s">
        <v>40</v>
      </c>
      <c r="E204" s="6">
        <v>15.7</v>
      </c>
      <c r="F204" s="6">
        <v>10.4</v>
      </c>
    </row>
    <row r="205" spans="1:6" x14ac:dyDescent="0.3">
      <c r="A205" s="4" t="s">
        <v>33</v>
      </c>
      <c r="B205" s="4">
        <v>839</v>
      </c>
      <c r="C205" s="6" t="s">
        <v>44</v>
      </c>
      <c r="D205" s="6" t="s">
        <v>40</v>
      </c>
      <c r="E205" s="6">
        <v>16.100000000000001</v>
      </c>
      <c r="F205" s="6">
        <v>11.2</v>
      </c>
    </row>
    <row r="206" spans="1:6" x14ac:dyDescent="0.3">
      <c r="A206" s="4" t="s">
        <v>33</v>
      </c>
      <c r="B206" s="4">
        <v>609</v>
      </c>
      <c r="C206" s="6" t="s">
        <v>44</v>
      </c>
      <c r="D206" s="6" t="s">
        <v>40</v>
      </c>
      <c r="E206" s="6">
        <v>23</v>
      </c>
      <c r="F206" s="6">
        <v>18</v>
      </c>
    </row>
    <row r="207" spans="1:6" x14ac:dyDescent="0.3">
      <c r="A207" s="4" t="s">
        <v>33</v>
      </c>
      <c r="B207" s="4">
        <v>495</v>
      </c>
      <c r="C207" s="6" t="s">
        <v>44</v>
      </c>
      <c r="D207" s="6" t="s">
        <v>40</v>
      </c>
      <c r="E207" s="6">
        <v>40</v>
      </c>
      <c r="F207" s="6">
        <v>27.2</v>
      </c>
    </row>
    <row r="208" spans="1:6" x14ac:dyDescent="0.3">
      <c r="A208" s="4" t="s">
        <v>33</v>
      </c>
      <c r="B208" s="4">
        <v>506</v>
      </c>
      <c r="C208" s="6" t="s">
        <v>44</v>
      </c>
      <c r="D208" s="6" t="s">
        <v>40</v>
      </c>
      <c r="E208" s="6">
        <v>41.6</v>
      </c>
      <c r="F208" s="6">
        <v>27.5</v>
      </c>
    </row>
    <row r="209" spans="1:6" x14ac:dyDescent="0.3">
      <c r="A209" s="4" t="s">
        <v>33</v>
      </c>
      <c r="B209" s="4">
        <v>542</v>
      </c>
      <c r="C209" s="6" t="s">
        <v>44</v>
      </c>
      <c r="D209" s="6" t="s">
        <v>40</v>
      </c>
      <c r="E209" s="6">
        <v>36.799999999999997</v>
      </c>
      <c r="F209" s="6">
        <v>28</v>
      </c>
    </row>
    <row r="210" spans="1:6" x14ac:dyDescent="0.3">
      <c r="A210" s="4" t="s">
        <v>33</v>
      </c>
      <c r="B210" s="4">
        <v>459</v>
      </c>
      <c r="C210" s="6" t="s">
        <v>44</v>
      </c>
      <c r="D210" s="6" t="s">
        <v>40</v>
      </c>
      <c r="E210" s="6">
        <v>44.7</v>
      </c>
      <c r="F210" s="6">
        <v>28.4</v>
      </c>
    </row>
    <row r="211" spans="1:6" x14ac:dyDescent="0.3">
      <c r="A211" s="4" t="s">
        <v>33</v>
      </c>
      <c r="B211" s="4">
        <v>659</v>
      </c>
      <c r="C211" s="6" t="s">
        <v>44</v>
      </c>
      <c r="D211" s="6" t="s">
        <v>40</v>
      </c>
      <c r="E211" s="6">
        <v>41.9</v>
      </c>
      <c r="F211" s="6">
        <v>28.5</v>
      </c>
    </row>
    <row r="212" spans="1:6" x14ac:dyDescent="0.3">
      <c r="A212" s="4" t="s">
        <v>33</v>
      </c>
      <c r="B212" s="4">
        <v>488</v>
      </c>
      <c r="C212" s="6" t="s">
        <v>44</v>
      </c>
      <c r="D212" s="6" t="s">
        <v>40</v>
      </c>
      <c r="E212" s="6">
        <v>35</v>
      </c>
      <c r="F212" s="6">
        <v>28.6</v>
      </c>
    </row>
    <row r="213" spans="1:6" x14ac:dyDescent="0.3">
      <c r="A213" s="4" t="s">
        <v>33</v>
      </c>
      <c r="B213" s="4">
        <v>529</v>
      </c>
      <c r="C213" s="6" t="s">
        <v>44</v>
      </c>
      <c r="D213" s="6" t="s">
        <v>40</v>
      </c>
      <c r="E213" s="6">
        <v>44.5</v>
      </c>
      <c r="F213" s="6">
        <v>28.6</v>
      </c>
    </row>
    <row r="214" spans="1:6" x14ac:dyDescent="0.3">
      <c r="A214" s="4" t="s">
        <v>33</v>
      </c>
      <c r="B214" s="4">
        <v>525</v>
      </c>
      <c r="C214" s="6" t="s">
        <v>44</v>
      </c>
      <c r="D214" s="6" t="s">
        <v>40</v>
      </c>
      <c r="E214" s="6">
        <v>45.3</v>
      </c>
      <c r="F214" s="6">
        <v>28.7</v>
      </c>
    </row>
    <row r="215" spans="1:6" x14ac:dyDescent="0.3">
      <c r="A215" s="4" t="s">
        <v>33</v>
      </c>
      <c r="B215" s="4">
        <v>1000</v>
      </c>
      <c r="C215" s="6" t="s">
        <v>44</v>
      </c>
      <c r="D215" s="6" t="s">
        <v>40</v>
      </c>
      <c r="E215" s="6">
        <v>45.1</v>
      </c>
      <c r="F215" s="6">
        <v>29</v>
      </c>
    </row>
    <row r="216" spans="1:6" x14ac:dyDescent="0.3">
      <c r="A216" s="4" t="s">
        <v>33</v>
      </c>
      <c r="B216" s="4">
        <v>499</v>
      </c>
      <c r="C216" s="6" t="s">
        <v>44</v>
      </c>
      <c r="D216" s="6" t="s">
        <v>40</v>
      </c>
      <c r="E216" s="6">
        <v>45.9</v>
      </c>
      <c r="F216" s="6">
        <v>29</v>
      </c>
    </row>
    <row r="217" spans="1:6" x14ac:dyDescent="0.3">
      <c r="A217" s="4" t="s">
        <v>33</v>
      </c>
      <c r="B217" s="4">
        <v>554</v>
      </c>
      <c r="C217" s="6" t="s">
        <v>44</v>
      </c>
      <c r="D217" s="6" t="s">
        <v>40</v>
      </c>
      <c r="E217" s="6">
        <v>43.7</v>
      </c>
      <c r="F217" s="6">
        <v>29.2</v>
      </c>
    </row>
    <row r="218" spans="1:6" x14ac:dyDescent="0.3">
      <c r="A218" s="4" t="s">
        <v>33</v>
      </c>
      <c r="B218" s="4">
        <v>551</v>
      </c>
      <c r="C218" s="6" t="s">
        <v>44</v>
      </c>
      <c r="D218" s="6" t="s">
        <v>40</v>
      </c>
      <c r="E218" s="6">
        <v>36.9</v>
      </c>
      <c r="F218" s="6">
        <v>29.3</v>
      </c>
    </row>
    <row r="219" spans="1:6" x14ac:dyDescent="0.3">
      <c r="A219" s="4" t="s">
        <v>33</v>
      </c>
      <c r="B219" s="4">
        <v>527</v>
      </c>
      <c r="C219" s="6" t="s">
        <v>44</v>
      </c>
      <c r="D219" s="6" t="s">
        <v>40</v>
      </c>
      <c r="E219" s="6">
        <v>44.6</v>
      </c>
      <c r="F219" s="6">
        <v>29.5</v>
      </c>
    </row>
    <row r="220" spans="1:6" x14ac:dyDescent="0.3">
      <c r="A220" s="4" t="s">
        <v>33</v>
      </c>
      <c r="B220" s="4">
        <v>858</v>
      </c>
      <c r="C220" s="6" t="s">
        <v>44</v>
      </c>
      <c r="D220" s="6" t="s">
        <v>40</v>
      </c>
      <c r="E220" s="6">
        <v>51</v>
      </c>
      <c r="F220" s="6">
        <v>29.8</v>
      </c>
    </row>
    <row r="221" spans="1:6" x14ac:dyDescent="0.3">
      <c r="A221" s="4" t="s">
        <v>33</v>
      </c>
      <c r="B221" s="4">
        <v>494</v>
      </c>
      <c r="C221" s="6" t="s">
        <v>44</v>
      </c>
      <c r="D221" s="6" t="s">
        <v>40</v>
      </c>
      <c r="E221" s="6">
        <v>43.5</v>
      </c>
      <c r="F221" s="6">
        <v>30</v>
      </c>
    </row>
    <row r="222" spans="1:6" x14ac:dyDescent="0.3">
      <c r="A222" s="4" t="s">
        <v>33</v>
      </c>
      <c r="B222" s="4">
        <v>553</v>
      </c>
      <c r="C222" s="6" t="s">
        <v>44</v>
      </c>
      <c r="D222" s="6" t="s">
        <v>40</v>
      </c>
      <c r="E222" s="6">
        <v>46.5</v>
      </c>
      <c r="F222" s="6">
        <v>30</v>
      </c>
    </row>
    <row r="223" spans="1:6" x14ac:dyDescent="0.3">
      <c r="A223" s="4" t="s">
        <v>33</v>
      </c>
      <c r="B223" s="4">
        <v>548</v>
      </c>
      <c r="C223" s="6" t="s">
        <v>44</v>
      </c>
      <c r="D223" s="6" t="s">
        <v>40</v>
      </c>
      <c r="E223" s="6">
        <v>48.5</v>
      </c>
      <c r="F223" s="6">
        <v>30.1</v>
      </c>
    </row>
    <row r="224" spans="1:6" x14ac:dyDescent="0.3">
      <c r="A224" s="4" t="s">
        <v>33</v>
      </c>
      <c r="B224" s="4">
        <v>1001</v>
      </c>
      <c r="C224" s="6" t="s">
        <v>44</v>
      </c>
      <c r="D224" s="6" t="s">
        <v>40</v>
      </c>
      <c r="E224" s="6">
        <v>47.7</v>
      </c>
      <c r="F224" s="6">
        <v>30.2</v>
      </c>
    </row>
    <row r="225" spans="1:6" x14ac:dyDescent="0.3">
      <c r="A225" s="4" t="s">
        <v>33</v>
      </c>
      <c r="B225" s="4">
        <v>534</v>
      </c>
      <c r="C225" s="6" t="s">
        <v>44</v>
      </c>
      <c r="D225" s="6" t="s">
        <v>40</v>
      </c>
      <c r="E225" s="6">
        <v>46</v>
      </c>
      <c r="F225" s="6">
        <v>30.4</v>
      </c>
    </row>
    <row r="226" spans="1:6" x14ac:dyDescent="0.3">
      <c r="A226" s="4" t="s">
        <v>33</v>
      </c>
      <c r="B226" s="4">
        <v>555</v>
      </c>
      <c r="C226" s="6" t="s">
        <v>44</v>
      </c>
      <c r="D226" s="6" t="s">
        <v>40</v>
      </c>
      <c r="E226" s="6">
        <v>46.2</v>
      </c>
      <c r="F226" s="6">
        <v>30.6</v>
      </c>
    </row>
    <row r="227" spans="1:6" x14ac:dyDescent="0.3">
      <c r="A227" s="4" t="s">
        <v>33</v>
      </c>
      <c r="B227" s="4">
        <v>482</v>
      </c>
      <c r="C227" s="6" t="s">
        <v>44</v>
      </c>
      <c r="D227" s="6" t="s">
        <v>40</v>
      </c>
      <c r="E227" s="6">
        <v>47.7</v>
      </c>
      <c r="F227" s="6">
        <v>30.6</v>
      </c>
    </row>
    <row r="228" spans="1:6" x14ac:dyDescent="0.3">
      <c r="A228" s="4" t="s">
        <v>33</v>
      </c>
      <c r="B228" s="4">
        <v>497</v>
      </c>
      <c r="C228" s="6" t="s">
        <v>44</v>
      </c>
      <c r="D228" s="6" t="s">
        <v>40</v>
      </c>
      <c r="E228" s="6">
        <v>42.7</v>
      </c>
      <c r="F228" s="6">
        <v>30.8</v>
      </c>
    </row>
    <row r="229" spans="1:6" x14ac:dyDescent="0.3">
      <c r="A229" s="4" t="s">
        <v>33</v>
      </c>
      <c r="B229" s="4">
        <v>265</v>
      </c>
      <c r="C229" s="6" t="s">
        <v>44</v>
      </c>
      <c r="D229" s="6" t="s">
        <v>40</v>
      </c>
      <c r="E229" s="6">
        <v>42.8</v>
      </c>
      <c r="F229" s="6">
        <v>31</v>
      </c>
    </row>
    <row r="230" spans="1:6" x14ac:dyDescent="0.3">
      <c r="A230" s="4" t="s">
        <v>33</v>
      </c>
      <c r="B230" s="4">
        <v>1063</v>
      </c>
      <c r="C230" s="6" t="s">
        <v>44</v>
      </c>
      <c r="D230" s="6" t="s">
        <v>40</v>
      </c>
      <c r="E230" s="6">
        <v>44.2</v>
      </c>
      <c r="F230" s="6">
        <v>31.3</v>
      </c>
    </row>
    <row r="231" spans="1:6" x14ac:dyDescent="0.3">
      <c r="A231" s="4" t="s">
        <v>33</v>
      </c>
      <c r="B231" s="4">
        <v>485</v>
      </c>
      <c r="C231" s="6" t="s">
        <v>44</v>
      </c>
      <c r="D231" s="6" t="s">
        <v>40</v>
      </c>
      <c r="E231" s="6">
        <v>49.9</v>
      </c>
      <c r="F231" s="6">
        <v>31.4</v>
      </c>
    </row>
    <row r="232" spans="1:6" x14ac:dyDescent="0.3">
      <c r="A232" s="4" t="s">
        <v>33</v>
      </c>
      <c r="B232" s="4">
        <v>1061</v>
      </c>
      <c r="C232" s="6" t="s">
        <v>44</v>
      </c>
      <c r="D232" s="6" t="s">
        <v>40</v>
      </c>
      <c r="E232" s="6">
        <v>46.5</v>
      </c>
      <c r="F232" s="6">
        <v>31.5</v>
      </c>
    </row>
    <row r="233" spans="1:6" x14ac:dyDescent="0.3">
      <c r="A233" s="4" t="s">
        <v>33</v>
      </c>
      <c r="B233" s="4">
        <v>662</v>
      </c>
      <c r="C233" s="6" t="s">
        <v>44</v>
      </c>
      <c r="D233" s="6" t="s">
        <v>40</v>
      </c>
      <c r="E233" s="6">
        <v>48.8</v>
      </c>
      <c r="F233" s="6">
        <v>31.5</v>
      </c>
    </row>
    <row r="234" spans="1:6" x14ac:dyDescent="0.3">
      <c r="A234" s="4" t="s">
        <v>33</v>
      </c>
      <c r="B234" s="4">
        <v>1006</v>
      </c>
      <c r="C234" s="6" t="s">
        <v>44</v>
      </c>
      <c r="D234" s="6" t="s">
        <v>40</v>
      </c>
      <c r="E234" s="6">
        <v>49.8</v>
      </c>
      <c r="F234" s="6">
        <v>31.6</v>
      </c>
    </row>
    <row r="235" spans="1:6" x14ac:dyDescent="0.3">
      <c r="A235" s="4" t="s">
        <v>33</v>
      </c>
      <c r="B235" s="4">
        <v>486</v>
      </c>
      <c r="C235" s="6" t="s">
        <v>44</v>
      </c>
      <c r="D235" s="6" t="s">
        <v>40</v>
      </c>
      <c r="E235" s="6">
        <v>49.4</v>
      </c>
      <c r="F235" s="6">
        <v>31.8</v>
      </c>
    </row>
    <row r="236" spans="1:6" x14ac:dyDescent="0.3">
      <c r="A236" s="4" t="s">
        <v>33</v>
      </c>
      <c r="B236" s="4">
        <v>1062</v>
      </c>
      <c r="C236" s="6" t="s">
        <v>44</v>
      </c>
      <c r="D236" s="6" t="s">
        <v>40</v>
      </c>
      <c r="E236" s="6">
        <v>43.1</v>
      </c>
      <c r="F236" s="6">
        <v>32</v>
      </c>
    </row>
    <row r="237" spans="1:6" x14ac:dyDescent="0.3">
      <c r="A237" s="4" t="s">
        <v>33</v>
      </c>
      <c r="B237" s="4">
        <v>461</v>
      </c>
      <c r="C237" s="6" t="s">
        <v>44</v>
      </c>
      <c r="D237" s="6" t="s">
        <v>40</v>
      </c>
      <c r="E237" s="6">
        <v>47.2</v>
      </c>
      <c r="F237" s="6">
        <v>32</v>
      </c>
    </row>
    <row r="238" spans="1:6" x14ac:dyDescent="0.3">
      <c r="A238" s="4" t="s">
        <v>33</v>
      </c>
      <c r="B238" s="4">
        <v>595</v>
      </c>
      <c r="C238" s="6" t="s">
        <v>44</v>
      </c>
      <c r="D238" s="6" t="s">
        <v>40</v>
      </c>
      <c r="E238" s="6">
        <v>47.9</v>
      </c>
      <c r="F238" s="6">
        <v>32.1</v>
      </c>
    </row>
    <row r="239" spans="1:6" x14ac:dyDescent="0.3">
      <c r="A239" s="4" t="s">
        <v>33</v>
      </c>
      <c r="B239" s="4">
        <v>509</v>
      </c>
      <c r="C239" s="6" t="s">
        <v>44</v>
      </c>
      <c r="D239" s="6" t="s">
        <v>40</v>
      </c>
      <c r="E239" s="6">
        <v>49.1</v>
      </c>
      <c r="F239" s="6">
        <v>32.1</v>
      </c>
    </row>
    <row r="240" spans="1:6" x14ac:dyDescent="0.3">
      <c r="A240" s="4" t="s">
        <v>33</v>
      </c>
      <c r="B240" s="4">
        <v>513</v>
      </c>
      <c r="C240" s="6" t="s">
        <v>44</v>
      </c>
      <c r="D240" s="6" t="s">
        <v>40</v>
      </c>
      <c r="E240" s="6">
        <v>45.6</v>
      </c>
      <c r="F240" s="6">
        <v>32.5</v>
      </c>
    </row>
    <row r="241" spans="1:6" x14ac:dyDescent="0.3">
      <c r="A241" s="4" t="s">
        <v>33</v>
      </c>
      <c r="B241" s="4">
        <v>1003</v>
      </c>
      <c r="C241" s="6" t="s">
        <v>44</v>
      </c>
      <c r="D241" s="6" t="s">
        <v>40</v>
      </c>
      <c r="E241" s="6">
        <v>48.7</v>
      </c>
      <c r="F241" s="6">
        <v>32.6</v>
      </c>
    </row>
    <row r="242" spans="1:6" x14ac:dyDescent="0.3">
      <c r="A242" s="4" t="s">
        <v>33</v>
      </c>
      <c r="B242" s="4">
        <v>1004</v>
      </c>
      <c r="C242" s="6" t="s">
        <v>44</v>
      </c>
      <c r="D242" s="6" t="s">
        <v>40</v>
      </c>
      <c r="E242" s="6">
        <v>49.9</v>
      </c>
      <c r="F242" s="6">
        <v>32.6</v>
      </c>
    </row>
    <row r="243" spans="1:6" x14ac:dyDescent="0.3">
      <c r="A243" s="4" t="s">
        <v>33</v>
      </c>
      <c r="B243" s="4">
        <v>465</v>
      </c>
      <c r="C243" s="6" t="s">
        <v>44</v>
      </c>
      <c r="D243" s="6" t="s">
        <v>40</v>
      </c>
      <c r="E243" s="6">
        <v>51.1</v>
      </c>
      <c r="F243" s="6">
        <v>32.6</v>
      </c>
    </row>
    <row r="244" spans="1:6" x14ac:dyDescent="0.3">
      <c r="A244" s="4" t="s">
        <v>33</v>
      </c>
      <c r="B244" s="4">
        <v>464</v>
      </c>
      <c r="C244" s="6" t="s">
        <v>44</v>
      </c>
      <c r="D244" s="6" t="s">
        <v>40</v>
      </c>
      <c r="E244" s="6">
        <v>49.2</v>
      </c>
      <c r="F244" s="6">
        <v>33.299999999999997</v>
      </c>
    </row>
    <row r="245" spans="1:6" x14ac:dyDescent="0.3">
      <c r="A245" s="4" t="s">
        <v>33</v>
      </c>
      <c r="B245" s="4">
        <v>504</v>
      </c>
      <c r="C245" s="6" t="s">
        <v>44</v>
      </c>
      <c r="D245" s="6" t="s">
        <v>40</v>
      </c>
      <c r="E245" s="6">
        <v>52.9</v>
      </c>
      <c r="F245" s="6">
        <v>33.4</v>
      </c>
    </row>
    <row r="246" spans="1:6" x14ac:dyDescent="0.3">
      <c r="A246" s="4" t="s">
        <v>33</v>
      </c>
      <c r="B246" s="4">
        <v>1064</v>
      </c>
      <c r="C246" s="6" t="s">
        <v>44</v>
      </c>
      <c r="D246" s="6" t="s">
        <v>40</v>
      </c>
      <c r="E246" s="6">
        <v>51</v>
      </c>
      <c r="F246" s="6">
        <v>33.5</v>
      </c>
    </row>
    <row r="247" spans="1:6" x14ac:dyDescent="0.3">
      <c r="A247" s="4" t="s">
        <v>33</v>
      </c>
      <c r="B247" s="4">
        <v>248</v>
      </c>
      <c r="C247" s="6" t="s">
        <v>44</v>
      </c>
      <c r="D247" s="6" t="s">
        <v>40</v>
      </c>
      <c r="E247" s="6">
        <v>52</v>
      </c>
      <c r="F247" s="6">
        <v>33.5</v>
      </c>
    </row>
    <row r="248" spans="1:6" x14ac:dyDescent="0.3">
      <c r="A248" s="4" t="s">
        <v>33</v>
      </c>
      <c r="B248" s="4">
        <v>360</v>
      </c>
      <c r="C248" s="6" t="s">
        <v>44</v>
      </c>
      <c r="D248" s="6" t="s">
        <v>40</v>
      </c>
      <c r="E248" s="6">
        <v>53.1</v>
      </c>
      <c r="F248" s="6">
        <v>33.6</v>
      </c>
    </row>
    <row r="249" spans="1:6" x14ac:dyDescent="0.3">
      <c r="A249" s="4" t="s">
        <v>33</v>
      </c>
      <c r="B249" s="4">
        <v>463</v>
      </c>
      <c r="C249" s="6" t="s">
        <v>44</v>
      </c>
      <c r="D249" s="6" t="s">
        <v>40</v>
      </c>
      <c r="E249" s="6">
        <v>52.2</v>
      </c>
      <c r="F249" s="6">
        <v>33.700000000000003</v>
      </c>
    </row>
    <row r="250" spans="1:6" x14ac:dyDescent="0.3">
      <c r="A250" s="4" t="s">
        <v>33</v>
      </c>
      <c r="B250" s="4">
        <v>1100</v>
      </c>
      <c r="C250" s="6" t="s">
        <v>44</v>
      </c>
      <c r="D250" s="6" t="s">
        <v>40</v>
      </c>
      <c r="E250" s="6">
        <v>49.4</v>
      </c>
      <c r="F250" s="6">
        <v>33.9</v>
      </c>
    </row>
    <row r="251" spans="1:6" x14ac:dyDescent="0.3">
      <c r="A251" s="4" t="s">
        <v>33</v>
      </c>
      <c r="B251" s="4">
        <v>1054</v>
      </c>
      <c r="C251" s="6" t="s">
        <v>44</v>
      </c>
      <c r="D251" s="6" t="s">
        <v>40</v>
      </c>
      <c r="E251" s="6">
        <v>51.5</v>
      </c>
      <c r="F251" s="6">
        <v>34</v>
      </c>
    </row>
    <row r="252" spans="1:6" x14ac:dyDescent="0.3">
      <c r="A252" s="4" t="s">
        <v>33</v>
      </c>
      <c r="B252" s="4">
        <v>359</v>
      </c>
      <c r="C252" s="6" t="s">
        <v>44</v>
      </c>
      <c r="D252" s="6" t="s">
        <v>40</v>
      </c>
      <c r="E252" s="6">
        <v>51.9</v>
      </c>
      <c r="F252" s="6">
        <v>34</v>
      </c>
    </row>
    <row r="253" spans="1:6" x14ac:dyDescent="0.3">
      <c r="A253" s="4" t="s">
        <v>33</v>
      </c>
      <c r="B253" s="4">
        <v>468</v>
      </c>
      <c r="C253" s="6" t="s">
        <v>44</v>
      </c>
      <c r="D253" s="6" t="s">
        <v>40</v>
      </c>
      <c r="E253" s="6">
        <v>53.3</v>
      </c>
      <c r="F253" s="6">
        <v>34.200000000000003</v>
      </c>
    </row>
    <row r="254" spans="1:6" x14ac:dyDescent="0.3">
      <c r="A254" s="4" t="s">
        <v>33</v>
      </c>
      <c r="B254" s="4">
        <v>207</v>
      </c>
      <c r="C254" s="6" t="s">
        <v>44</v>
      </c>
      <c r="D254" s="6" t="s">
        <v>40</v>
      </c>
      <c r="E254" s="6">
        <v>47</v>
      </c>
      <c r="F254" s="6">
        <v>34.299999999999997</v>
      </c>
    </row>
    <row r="255" spans="1:6" x14ac:dyDescent="0.3">
      <c r="A255" s="4" t="s">
        <v>33</v>
      </c>
      <c r="B255" s="4">
        <v>476</v>
      </c>
      <c r="C255" s="6" t="s">
        <v>44</v>
      </c>
      <c r="D255" s="6" t="s">
        <v>40</v>
      </c>
      <c r="E255" s="6">
        <v>49.4</v>
      </c>
      <c r="F255" s="6">
        <v>34.299999999999997</v>
      </c>
    </row>
    <row r="256" spans="1:6" x14ac:dyDescent="0.3">
      <c r="A256" s="4" t="s">
        <v>33</v>
      </c>
      <c r="B256" s="4">
        <v>590</v>
      </c>
      <c r="C256" s="6" t="s">
        <v>44</v>
      </c>
      <c r="D256" s="6" t="s">
        <v>40</v>
      </c>
      <c r="E256" s="6">
        <v>52.5</v>
      </c>
      <c r="F256" s="6">
        <v>34.5</v>
      </c>
    </row>
    <row r="257" spans="1:6" x14ac:dyDescent="0.3">
      <c r="A257" s="4" t="s">
        <v>33</v>
      </c>
      <c r="B257" s="4">
        <v>530</v>
      </c>
      <c r="C257" s="6" t="s">
        <v>44</v>
      </c>
      <c r="D257" s="6" t="s">
        <v>40</v>
      </c>
      <c r="E257" s="6">
        <v>51.1</v>
      </c>
      <c r="F257" s="6">
        <v>34.9</v>
      </c>
    </row>
    <row r="258" spans="1:6" x14ac:dyDescent="0.3">
      <c r="A258" s="4" t="s">
        <v>33</v>
      </c>
      <c r="B258" s="4">
        <v>621</v>
      </c>
      <c r="C258" s="6" t="s">
        <v>44</v>
      </c>
      <c r="D258" s="6" t="s">
        <v>40</v>
      </c>
      <c r="E258" s="6">
        <v>49.8</v>
      </c>
      <c r="F258" s="6">
        <v>35.1</v>
      </c>
    </row>
    <row r="259" spans="1:6" x14ac:dyDescent="0.3">
      <c r="A259" s="4" t="s">
        <v>33</v>
      </c>
      <c r="B259" s="4">
        <v>245</v>
      </c>
      <c r="C259" s="6" t="s">
        <v>44</v>
      </c>
      <c r="D259" s="6" t="s">
        <v>40</v>
      </c>
      <c r="E259" s="6">
        <v>57.3</v>
      </c>
      <c r="F259" s="6">
        <v>35.200000000000003</v>
      </c>
    </row>
    <row r="260" spans="1:6" x14ac:dyDescent="0.3">
      <c r="A260" s="4" t="s">
        <v>33</v>
      </c>
      <c r="B260" s="4">
        <v>460</v>
      </c>
      <c r="C260" s="6" t="s">
        <v>44</v>
      </c>
      <c r="D260" s="6" t="s">
        <v>40</v>
      </c>
      <c r="E260" s="6">
        <v>56.9</v>
      </c>
      <c r="F260" s="6">
        <v>36.1</v>
      </c>
    </row>
    <row r="261" spans="1:6" x14ac:dyDescent="0.3">
      <c r="A261" s="4" t="s">
        <v>33</v>
      </c>
      <c r="B261" s="4">
        <v>458</v>
      </c>
      <c r="C261" s="6" t="s">
        <v>44</v>
      </c>
      <c r="D261" s="6" t="s">
        <v>40</v>
      </c>
      <c r="E261" s="6">
        <v>55.2</v>
      </c>
      <c r="F261" s="6">
        <v>36.5</v>
      </c>
    </row>
    <row r="262" spans="1:6" x14ac:dyDescent="0.3">
      <c r="A262" s="4" t="s">
        <v>33</v>
      </c>
      <c r="B262" s="4">
        <v>518</v>
      </c>
      <c r="C262" s="6" t="s">
        <v>44</v>
      </c>
      <c r="D262" s="6" t="s">
        <v>40</v>
      </c>
      <c r="E262" s="6">
        <v>51.9</v>
      </c>
      <c r="F262" s="6">
        <v>36.799999999999997</v>
      </c>
    </row>
    <row r="263" spans="1:6" x14ac:dyDescent="0.3">
      <c r="A263" s="4" t="s">
        <v>33</v>
      </c>
      <c r="B263" s="4">
        <v>196</v>
      </c>
      <c r="C263" s="6" t="s">
        <v>44</v>
      </c>
      <c r="D263" s="6" t="s">
        <v>40</v>
      </c>
      <c r="E263" s="6">
        <v>57.2</v>
      </c>
      <c r="F263" s="6">
        <v>36.799999999999997</v>
      </c>
    </row>
    <row r="264" spans="1:6" x14ac:dyDescent="0.3">
      <c r="A264" s="4" t="s">
        <v>33</v>
      </c>
      <c r="B264" s="4">
        <v>852</v>
      </c>
      <c r="C264" s="6" t="s">
        <v>44</v>
      </c>
      <c r="D264" s="6" t="s">
        <v>40</v>
      </c>
      <c r="E264" s="6">
        <v>58</v>
      </c>
      <c r="F264" s="6">
        <v>36.799999999999997</v>
      </c>
    </row>
    <row r="265" spans="1:6" x14ac:dyDescent="0.3">
      <c r="A265" s="4" t="s">
        <v>33</v>
      </c>
      <c r="B265" s="4">
        <v>658</v>
      </c>
      <c r="C265" s="6" t="s">
        <v>44</v>
      </c>
      <c r="D265" s="6" t="s">
        <v>40</v>
      </c>
      <c r="E265" s="6">
        <v>53.2</v>
      </c>
      <c r="F265" s="6">
        <v>37</v>
      </c>
    </row>
    <row r="266" spans="1:6" x14ac:dyDescent="0.3">
      <c r="A266" s="4" t="s">
        <v>33</v>
      </c>
      <c r="B266" s="4">
        <v>614</v>
      </c>
      <c r="C266" s="6" t="s">
        <v>44</v>
      </c>
      <c r="D266" s="6" t="s">
        <v>40</v>
      </c>
      <c r="E266" s="6">
        <v>53.8</v>
      </c>
      <c r="F266" s="6">
        <v>37</v>
      </c>
    </row>
    <row r="267" spans="1:6" x14ac:dyDescent="0.3">
      <c r="A267" s="4" t="s">
        <v>33</v>
      </c>
      <c r="B267" s="4">
        <v>386</v>
      </c>
      <c r="C267" s="6" t="s">
        <v>44</v>
      </c>
      <c r="D267" s="6" t="s">
        <v>40</v>
      </c>
      <c r="E267" s="6">
        <v>58.3</v>
      </c>
      <c r="F267" s="6">
        <v>37.5</v>
      </c>
    </row>
    <row r="268" spans="1:6" x14ac:dyDescent="0.3">
      <c r="A268" s="4" t="s">
        <v>33</v>
      </c>
      <c r="B268" s="4">
        <v>998</v>
      </c>
      <c r="C268" s="6" t="s">
        <v>44</v>
      </c>
      <c r="D268" s="6" t="s">
        <v>40</v>
      </c>
      <c r="E268" s="6">
        <v>56.6</v>
      </c>
      <c r="F268" s="6">
        <v>37.700000000000003</v>
      </c>
    </row>
    <row r="269" spans="1:6" x14ac:dyDescent="0.3">
      <c r="A269" s="4" t="s">
        <v>33</v>
      </c>
      <c r="B269" s="4">
        <v>498</v>
      </c>
      <c r="C269" s="6" t="s">
        <v>44</v>
      </c>
      <c r="D269" s="6" t="s">
        <v>40</v>
      </c>
      <c r="E269" s="6">
        <v>57.5</v>
      </c>
      <c r="F269" s="6">
        <v>37.9</v>
      </c>
    </row>
    <row r="270" spans="1:6" x14ac:dyDescent="0.3">
      <c r="A270" s="4" t="s">
        <v>33</v>
      </c>
      <c r="B270" s="4">
        <v>213</v>
      </c>
      <c r="C270" s="6" t="s">
        <v>44</v>
      </c>
      <c r="D270" s="6" t="s">
        <v>40</v>
      </c>
      <c r="E270" s="6">
        <v>65</v>
      </c>
      <c r="F270" s="6">
        <v>38</v>
      </c>
    </row>
    <row r="271" spans="1:6" x14ac:dyDescent="0.3">
      <c r="A271" s="4" t="s">
        <v>33</v>
      </c>
      <c r="B271" s="4">
        <v>682</v>
      </c>
      <c r="C271" s="6" t="s">
        <v>44</v>
      </c>
      <c r="D271" s="6" t="s">
        <v>40</v>
      </c>
      <c r="E271" s="6">
        <v>47.3</v>
      </c>
      <c r="F271" s="6">
        <v>38.1</v>
      </c>
    </row>
    <row r="272" spans="1:6" x14ac:dyDescent="0.3">
      <c r="A272" s="4" t="s">
        <v>33</v>
      </c>
      <c r="B272" s="4">
        <v>616</v>
      </c>
      <c r="C272" s="6" t="s">
        <v>44</v>
      </c>
      <c r="D272" s="6" t="s">
        <v>40</v>
      </c>
      <c r="E272" s="6">
        <v>58.9</v>
      </c>
      <c r="F272" s="6">
        <v>38.6</v>
      </c>
    </row>
    <row r="273" spans="1:6" x14ac:dyDescent="0.3">
      <c r="A273" s="4" t="s">
        <v>33</v>
      </c>
      <c r="B273" s="4">
        <v>1058</v>
      </c>
      <c r="C273" s="6" t="s">
        <v>44</v>
      </c>
      <c r="D273" s="6" t="s">
        <v>40</v>
      </c>
      <c r="E273" s="6">
        <v>59.5</v>
      </c>
      <c r="F273" s="6">
        <v>38.799999999999997</v>
      </c>
    </row>
    <row r="274" spans="1:6" x14ac:dyDescent="0.3">
      <c r="A274" s="4" t="s">
        <v>33</v>
      </c>
      <c r="B274" s="4">
        <v>410</v>
      </c>
      <c r="C274" s="6" t="s">
        <v>44</v>
      </c>
      <c r="D274" s="6" t="s">
        <v>40</v>
      </c>
      <c r="E274" s="6">
        <v>60</v>
      </c>
      <c r="F274" s="6">
        <v>38.799999999999997</v>
      </c>
    </row>
    <row r="275" spans="1:6" x14ac:dyDescent="0.3">
      <c r="A275" s="4" t="s">
        <v>33</v>
      </c>
      <c r="B275" s="4">
        <v>309</v>
      </c>
      <c r="C275" s="6" t="s">
        <v>44</v>
      </c>
      <c r="D275" s="6" t="s">
        <v>40</v>
      </c>
      <c r="E275" s="6">
        <v>61</v>
      </c>
      <c r="F275" s="6">
        <v>39</v>
      </c>
    </row>
    <row r="276" spans="1:6" x14ac:dyDescent="0.3">
      <c r="A276" s="4" t="s">
        <v>33</v>
      </c>
      <c r="B276" s="4">
        <v>246</v>
      </c>
      <c r="C276" s="6" t="s">
        <v>44</v>
      </c>
      <c r="D276" s="6" t="s">
        <v>40</v>
      </c>
      <c r="E276" s="6">
        <v>59</v>
      </c>
      <c r="F276" s="6">
        <v>39.299999999999997</v>
      </c>
    </row>
    <row r="277" spans="1:6" x14ac:dyDescent="0.3">
      <c r="A277" s="4" t="s">
        <v>33</v>
      </c>
      <c r="B277" s="4">
        <v>630</v>
      </c>
      <c r="C277" s="6" t="s">
        <v>44</v>
      </c>
      <c r="D277" s="6" t="s">
        <v>40</v>
      </c>
      <c r="E277" s="6">
        <v>49.1</v>
      </c>
      <c r="F277" s="6">
        <v>39.4</v>
      </c>
    </row>
    <row r="278" spans="1:6" x14ac:dyDescent="0.3">
      <c r="A278" s="4" t="s">
        <v>33</v>
      </c>
      <c r="B278" s="4">
        <v>618</v>
      </c>
      <c r="C278" s="6" t="s">
        <v>44</v>
      </c>
      <c r="D278" s="6" t="s">
        <v>40</v>
      </c>
      <c r="E278" s="6">
        <v>61.5</v>
      </c>
      <c r="F278" s="6">
        <v>39.5</v>
      </c>
    </row>
    <row r="279" spans="1:6" x14ac:dyDescent="0.3">
      <c r="A279" s="4" t="s">
        <v>33</v>
      </c>
      <c r="B279" s="4">
        <v>206</v>
      </c>
      <c r="C279" s="6" t="s">
        <v>44</v>
      </c>
      <c r="D279" s="6" t="s">
        <v>40</v>
      </c>
      <c r="E279" s="6">
        <v>56.3</v>
      </c>
      <c r="F279" s="6">
        <v>40</v>
      </c>
    </row>
    <row r="280" spans="1:6" x14ac:dyDescent="0.3">
      <c r="A280" s="4" t="s">
        <v>33</v>
      </c>
      <c r="B280" s="4">
        <v>619</v>
      </c>
      <c r="C280" s="6" t="s">
        <v>44</v>
      </c>
      <c r="D280" s="6" t="s">
        <v>40</v>
      </c>
      <c r="E280" s="6">
        <v>59.4</v>
      </c>
      <c r="F280" s="6">
        <v>40.1</v>
      </c>
    </row>
    <row r="281" spans="1:6" x14ac:dyDescent="0.3">
      <c r="A281" s="4" t="s">
        <v>33</v>
      </c>
      <c r="B281" s="4">
        <v>304</v>
      </c>
      <c r="C281" s="6" t="s">
        <v>44</v>
      </c>
      <c r="D281" s="6" t="s">
        <v>40</v>
      </c>
      <c r="E281" s="6">
        <v>54.3</v>
      </c>
      <c r="F281" s="6">
        <v>40.200000000000003</v>
      </c>
    </row>
    <row r="282" spans="1:6" x14ac:dyDescent="0.3">
      <c r="A282" s="4" t="s">
        <v>33</v>
      </c>
      <c r="B282" s="4">
        <v>383</v>
      </c>
      <c r="C282" s="6" t="s">
        <v>44</v>
      </c>
      <c r="D282" s="6" t="s">
        <v>40</v>
      </c>
      <c r="E282" s="6">
        <v>62</v>
      </c>
      <c r="F282" s="6">
        <v>40.200000000000003</v>
      </c>
    </row>
    <row r="283" spans="1:6" x14ac:dyDescent="0.3">
      <c r="A283" s="4" t="s">
        <v>33</v>
      </c>
      <c r="B283" s="4">
        <v>231</v>
      </c>
      <c r="C283" s="6" t="s">
        <v>44</v>
      </c>
      <c r="D283" s="6" t="s">
        <v>40</v>
      </c>
      <c r="E283" s="6">
        <v>62.9</v>
      </c>
      <c r="F283" s="6">
        <v>40.200000000000003</v>
      </c>
    </row>
    <row r="284" spans="1:6" x14ac:dyDescent="0.3">
      <c r="A284" s="4" t="s">
        <v>33</v>
      </c>
      <c r="B284" s="4">
        <v>1020</v>
      </c>
      <c r="C284" s="6" t="s">
        <v>44</v>
      </c>
      <c r="D284" s="6" t="s">
        <v>40</v>
      </c>
      <c r="E284" s="6">
        <v>62.7</v>
      </c>
      <c r="F284" s="6">
        <v>40.299999999999997</v>
      </c>
    </row>
    <row r="285" spans="1:6" x14ac:dyDescent="0.3">
      <c r="A285" s="4" t="s">
        <v>33</v>
      </c>
      <c r="B285" s="4">
        <v>539</v>
      </c>
      <c r="C285" s="6" t="s">
        <v>44</v>
      </c>
      <c r="D285" s="6" t="s">
        <v>40</v>
      </c>
      <c r="E285" s="6">
        <v>57.6</v>
      </c>
      <c r="F285" s="6">
        <v>40.5</v>
      </c>
    </row>
    <row r="286" spans="1:6" x14ac:dyDescent="0.3">
      <c r="A286" s="4" t="s">
        <v>33</v>
      </c>
      <c r="B286" s="4">
        <v>337</v>
      </c>
      <c r="C286" s="6" t="s">
        <v>44</v>
      </c>
      <c r="D286" s="6" t="s">
        <v>40</v>
      </c>
      <c r="E286" s="6">
        <v>66</v>
      </c>
      <c r="F286" s="6">
        <v>40.5</v>
      </c>
    </row>
    <row r="287" spans="1:6" x14ac:dyDescent="0.3">
      <c r="A287" s="4" t="s">
        <v>33</v>
      </c>
      <c r="B287" s="4">
        <v>1070</v>
      </c>
      <c r="C287" s="6" t="s">
        <v>44</v>
      </c>
      <c r="D287" s="6" t="s">
        <v>40</v>
      </c>
      <c r="E287" s="6">
        <v>57.3</v>
      </c>
      <c r="F287" s="6">
        <v>40.6</v>
      </c>
    </row>
    <row r="288" spans="1:6" x14ac:dyDescent="0.3">
      <c r="A288" s="4" t="s">
        <v>33</v>
      </c>
      <c r="B288" s="4">
        <v>588</v>
      </c>
      <c r="C288" s="6" t="s">
        <v>44</v>
      </c>
      <c r="D288" s="6" t="s">
        <v>40</v>
      </c>
      <c r="E288" s="6">
        <v>61.8</v>
      </c>
      <c r="F288" s="6">
        <v>40.6</v>
      </c>
    </row>
    <row r="289" spans="1:6" x14ac:dyDescent="0.3">
      <c r="A289" s="4" t="s">
        <v>33</v>
      </c>
      <c r="B289" s="4">
        <v>1126</v>
      </c>
      <c r="C289" s="6" t="s">
        <v>44</v>
      </c>
      <c r="D289" s="6" t="s">
        <v>40</v>
      </c>
      <c r="E289" s="6">
        <v>61.4</v>
      </c>
      <c r="F289" s="6">
        <v>40.799999999999997</v>
      </c>
    </row>
    <row r="290" spans="1:6" x14ac:dyDescent="0.3">
      <c r="A290" s="4" t="s">
        <v>33</v>
      </c>
      <c r="B290" s="4">
        <v>456</v>
      </c>
      <c r="C290" s="6" t="s">
        <v>44</v>
      </c>
      <c r="D290" s="6" t="s">
        <v>40</v>
      </c>
      <c r="E290" s="6">
        <v>63.1</v>
      </c>
      <c r="F290" s="6">
        <v>40.799999999999997</v>
      </c>
    </row>
    <row r="291" spans="1:6" x14ac:dyDescent="0.3">
      <c r="A291" s="4" t="s">
        <v>33</v>
      </c>
      <c r="B291" s="4">
        <v>252</v>
      </c>
      <c r="C291" s="6" t="s">
        <v>44</v>
      </c>
      <c r="D291" s="6" t="s">
        <v>40</v>
      </c>
      <c r="E291" s="6">
        <v>65.2</v>
      </c>
      <c r="F291" s="6">
        <v>40.799999999999997</v>
      </c>
    </row>
    <row r="292" spans="1:6" x14ac:dyDescent="0.3">
      <c r="A292" s="4" t="s">
        <v>33</v>
      </c>
      <c r="B292" s="4">
        <v>1152</v>
      </c>
      <c r="C292" s="6" t="s">
        <v>44</v>
      </c>
      <c r="D292" s="6" t="s">
        <v>40</v>
      </c>
      <c r="E292" s="6">
        <v>63</v>
      </c>
      <c r="F292" s="6">
        <v>40.9</v>
      </c>
    </row>
    <row r="293" spans="1:6" x14ac:dyDescent="0.3">
      <c r="A293" s="4" t="s">
        <v>33</v>
      </c>
      <c r="B293" s="4">
        <v>333</v>
      </c>
      <c r="C293" s="6" t="s">
        <v>44</v>
      </c>
      <c r="D293" s="6" t="s">
        <v>40</v>
      </c>
      <c r="E293" s="6">
        <v>60.2</v>
      </c>
      <c r="F293" s="6">
        <v>41.1</v>
      </c>
    </row>
    <row r="294" spans="1:6" x14ac:dyDescent="0.3">
      <c r="A294" s="4" t="s">
        <v>33</v>
      </c>
      <c r="B294" s="4">
        <v>851</v>
      </c>
      <c r="C294" s="6" t="s">
        <v>44</v>
      </c>
      <c r="D294" s="6" t="s">
        <v>40</v>
      </c>
      <c r="E294" s="6">
        <v>61</v>
      </c>
      <c r="F294" s="6">
        <v>41.1</v>
      </c>
    </row>
    <row r="295" spans="1:6" x14ac:dyDescent="0.3">
      <c r="A295" s="4" t="s">
        <v>33</v>
      </c>
      <c r="B295" s="4">
        <v>671</v>
      </c>
      <c r="C295" s="6" t="s">
        <v>44</v>
      </c>
      <c r="D295" s="6" t="s">
        <v>40</v>
      </c>
      <c r="E295" s="6">
        <v>62</v>
      </c>
      <c r="F295" s="6">
        <v>41.2</v>
      </c>
    </row>
    <row r="296" spans="1:6" x14ac:dyDescent="0.3">
      <c r="A296" s="4" t="s">
        <v>33</v>
      </c>
      <c r="B296" s="4">
        <v>232</v>
      </c>
      <c r="C296" s="6" t="s">
        <v>44</v>
      </c>
      <c r="D296" s="6" t="s">
        <v>40</v>
      </c>
      <c r="E296" s="6">
        <v>52.3</v>
      </c>
      <c r="F296" s="6">
        <v>41.4</v>
      </c>
    </row>
    <row r="297" spans="1:6" x14ac:dyDescent="0.3">
      <c r="A297" s="4" t="s">
        <v>33</v>
      </c>
      <c r="B297" s="4">
        <v>677</v>
      </c>
      <c r="C297" s="6" t="s">
        <v>44</v>
      </c>
      <c r="D297" s="6" t="s">
        <v>40</v>
      </c>
      <c r="E297" s="6">
        <v>61.1</v>
      </c>
      <c r="F297" s="6">
        <v>41.6</v>
      </c>
    </row>
    <row r="298" spans="1:6" x14ac:dyDescent="0.3">
      <c r="A298" s="4" t="s">
        <v>33</v>
      </c>
      <c r="B298" s="4">
        <v>1073</v>
      </c>
      <c r="C298" s="6" t="s">
        <v>44</v>
      </c>
      <c r="D298" s="6" t="s">
        <v>40</v>
      </c>
      <c r="E298" s="6">
        <v>65.900000000000006</v>
      </c>
      <c r="F298" s="6">
        <v>42.1</v>
      </c>
    </row>
    <row r="299" spans="1:6" x14ac:dyDescent="0.3">
      <c r="A299" s="4" t="s">
        <v>33</v>
      </c>
      <c r="B299" s="4">
        <v>624</v>
      </c>
      <c r="C299" s="6" t="s">
        <v>44</v>
      </c>
      <c r="D299" s="6" t="s">
        <v>40</v>
      </c>
      <c r="E299" s="6">
        <v>61.5</v>
      </c>
      <c r="F299" s="6">
        <v>42.3</v>
      </c>
    </row>
    <row r="300" spans="1:6" x14ac:dyDescent="0.3">
      <c r="A300" s="4" t="s">
        <v>33</v>
      </c>
      <c r="B300" s="4">
        <v>628</v>
      </c>
      <c r="C300" s="6" t="s">
        <v>44</v>
      </c>
      <c r="D300" s="6" t="s">
        <v>40</v>
      </c>
      <c r="E300" s="6">
        <v>60.5</v>
      </c>
      <c r="F300" s="6">
        <v>42.4</v>
      </c>
    </row>
    <row r="301" spans="1:6" x14ac:dyDescent="0.3">
      <c r="A301" s="4" t="s">
        <v>33</v>
      </c>
      <c r="B301" s="4">
        <v>331</v>
      </c>
      <c r="C301" s="6" t="s">
        <v>44</v>
      </c>
      <c r="D301" s="6" t="s">
        <v>40</v>
      </c>
      <c r="E301" s="6">
        <v>62.4</v>
      </c>
      <c r="F301" s="6">
        <v>42.6</v>
      </c>
    </row>
    <row r="302" spans="1:6" x14ac:dyDescent="0.3">
      <c r="A302" s="4" t="s">
        <v>33</v>
      </c>
      <c r="B302" s="4">
        <v>365</v>
      </c>
      <c r="C302" s="6" t="s">
        <v>44</v>
      </c>
      <c r="D302" s="6" t="s">
        <v>40</v>
      </c>
      <c r="E302" s="6">
        <v>66.8</v>
      </c>
      <c r="F302" s="6">
        <v>42.6</v>
      </c>
    </row>
    <row r="303" spans="1:6" x14ac:dyDescent="0.3">
      <c r="A303" s="4" t="s">
        <v>33</v>
      </c>
      <c r="B303" s="4">
        <v>1101</v>
      </c>
      <c r="C303" s="6" t="s">
        <v>44</v>
      </c>
      <c r="D303" s="6" t="s">
        <v>40</v>
      </c>
      <c r="E303" s="6">
        <v>63</v>
      </c>
      <c r="F303" s="6">
        <v>42.7</v>
      </c>
    </row>
    <row r="304" spans="1:6" x14ac:dyDescent="0.3">
      <c r="A304" s="4" t="s">
        <v>33</v>
      </c>
      <c r="B304" s="4">
        <v>993</v>
      </c>
      <c r="C304" s="6" t="s">
        <v>44</v>
      </c>
      <c r="D304" s="6" t="s">
        <v>40</v>
      </c>
      <c r="E304" s="6">
        <v>64.8</v>
      </c>
      <c r="F304" s="6">
        <v>42.9</v>
      </c>
    </row>
    <row r="305" spans="1:6" x14ac:dyDescent="0.3">
      <c r="A305" s="4" t="s">
        <v>33</v>
      </c>
      <c r="B305" s="4">
        <v>220</v>
      </c>
      <c r="C305" s="6" t="s">
        <v>44</v>
      </c>
      <c r="D305" s="6" t="s">
        <v>40</v>
      </c>
      <c r="E305" s="6">
        <v>60.8</v>
      </c>
      <c r="F305" s="6">
        <v>43.4</v>
      </c>
    </row>
    <row r="306" spans="1:6" x14ac:dyDescent="0.3">
      <c r="A306" s="4" t="s">
        <v>33</v>
      </c>
      <c r="B306" s="4">
        <v>625</v>
      </c>
      <c r="C306" s="6" t="s">
        <v>44</v>
      </c>
      <c r="D306" s="6" t="s">
        <v>40</v>
      </c>
      <c r="E306" s="6">
        <v>61.2</v>
      </c>
      <c r="F306" s="6">
        <v>43.4</v>
      </c>
    </row>
    <row r="307" spans="1:6" x14ac:dyDescent="0.3">
      <c r="A307" s="4" t="s">
        <v>33</v>
      </c>
      <c r="B307" s="4">
        <v>363</v>
      </c>
      <c r="C307" s="6" t="s">
        <v>44</v>
      </c>
      <c r="D307" s="6" t="s">
        <v>40</v>
      </c>
      <c r="E307" s="6">
        <v>63.4</v>
      </c>
      <c r="F307" s="6">
        <v>43.4</v>
      </c>
    </row>
    <row r="308" spans="1:6" x14ac:dyDescent="0.3">
      <c r="A308" s="4" t="s">
        <v>33</v>
      </c>
      <c r="B308" s="4">
        <v>237</v>
      </c>
      <c r="C308" s="6" t="s">
        <v>44</v>
      </c>
      <c r="D308" s="6" t="s">
        <v>40</v>
      </c>
      <c r="E308" s="6">
        <v>69.400000000000006</v>
      </c>
      <c r="F308" s="6">
        <v>43.5</v>
      </c>
    </row>
    <row r="309" spans="1:6" x14ac:dyDescent="0.3">
      <c r="A309" s="4" t="s">
        <v>33</v>
      </c>
      <c r="B309" s="4">
        <v>341</v>
      </c>
      <c r="C309" s="6" t="s">
        <v>44</v>
      </c>
      <c r="D309" s="6" t="s">
        <v>40</v>
      </c>
      <c r="E309" s="6">
        <v>65</v>
      </c>
      <c r="F309" s="6">
        <v>44</v>
      </c>
    </row>
    <row r="310" spans="1:6" x14ac:dyDescent="0.3">
      <c r="A310" s="4" t="s">
        <v>33</v>
      </c>
      <c r="B310" s="4">
        <v>647</v>
      </c>
      <c r="C310" s="6" t="s">
        <v>44</v>
      </c>
      <c r="D310" s="6" t="s">
        <v>40</v>
      </c>
      <c r="E310" s="6">
        <v>66.3</v>
      </c>
      <c r="F310" s="6">
        <v>44.4</v>
      </c>
    </row>
    <row r="311" spans="1:6" x14ac:dyDescent="0.3">
      <c r="A311" s="4" t="s">
        <v>33</v>
      </c>
      <c r="B311" s="4">
        <v>648</v>
      </c>
      <c r="C311" s="6" t="s">
        <v>44</v>
      </c>
      <c r="D311" s="6" t="s">
        <v>40</v>
      </c>
      <c r="E311" s="6">
        <v>62.4</v>
      </c>
      <c r="F311" s="6">
        <v>44.5</v>
      </c>
    </row>
    <row r="312" spans="1:6" x14ac:dyDescent="0.3">
      <c r="A312" s="4" t="s">
        <v>33</v>
      </c>
      <c r="B312" s="4">
        <v>267</v>
      </c>
      <c r="C312" s="6" t="s">
        <v>44</v>
      </c>
      <c r="D312" s="6" t="s">
        <v>40</v>
      </c>
      <c r="E312" s="6">
        <v>69.7</v>
      </c>
      <c r="F312" s="6">
        <v>44.6</v>
      </c>
    </row>
    <row r="313" spans="1:6" x14ac:dyDescent="0.3">
      <c r="A313" s="4" t="s">
        <v>33</v>
      </c>
      <c r="B313" s="4">
        <v>600</v>
      </c>
      <c r="C313" s="6" t="s">
        <v>44</v>
      </c>
      <c r="D313" s="6" t="s">
        <v>40</v>
      </c>
      <c r="E313" s="6">
        <v>66.599999999999994</v>
      </c>
      <c r="F313" s="6">
        <v>44.7</v>
      </c>
    </row>
    <row r="314" spans="1:6" x14ac:dyDescent="0.3">
      <c r="A314" s="4" t="s">
        <v>33</v>
      </c>
      <c r="B314" s="4">
        <v>172</v>
      </c>
      <c r="C314" s="6" t="s">
        <v>44</v>
      </c>
      <c r="D314" s="6" t="s">
        <v>40</v>
      </c>
      <c r="E314" s="6">
        <v>65.400000000000006</v>
      </c>
      <c r="F314" s="6">
        <v>44.8</v>
      </c>
    </row>
    <row r="315" spans="1:6" x14ac:dyDescent="0.3">
      <c r="A315" s="4" t="s">
        <v>33</v>
      </c>
      <c r="B315" s="4">
        <v>591</v>
      </c>
      <c r="C315" s="6" t="s">
        <v>44</v>
      </c>
      <c r="D315" s="6" t="s">
        <v>40</v>
      </c>
      <c r="E315" s="6">
        <v>67.099999999999994</v>
      </c>
      <c r="F315" s="6">
        <v>44.9</v>
      </c>
    </row>
    <row r="316" spans="1:6" x14ac:dyDescent="0.3">
      <c r="A316" s="4" t="s">
        <v>33</v>
      </c>
      <c r="B316" s="4">
        <v>986</v>
      </c>
      <c r="C316" s="6" t="s">
        <v>44</v>
      </c>
      <c r="D316" s="6" t="s">
        <v>40</v>
      </c>
      <c r="E316" s="6">
        <v>66.5</v>
      </c>
      <c r="F316" s="6">
        <v>45.1</v>
      </c>
    </row>
    <row r="317" spans="1:6" x14ac:dyDescent="0.3">
      <c r="A317" s="4" t="s">
        <v>33</v>
      </c>
      <c r="B317" s="4">
        <v>1072</v>
      </c>
      <c r="C317" s="6" t="s">
        <v>44</v>
      </c>
      <c r="D317" s="6" t="s">
        <v>40</v>
      </c>
      <c r="E317" s="6">
        <v>65.5</v>
      </c>
      <c r="F317" s="6">
        <v>45.7</v>
      </c>
    </row>
    <row r="318" spans="1:6" x14ac:dyDescent="0.3">
      <c r="A318" s="4" t="s">
        <v>33</v>
      </c>
      <c r="B318" s="4">
        <v>1086</v>
      </c>
      <c r="C318" s="6" t="s">
        <v>44</v>
      </c>
      <c r="D318" s="6" t="s">
        <v>40</v>
      </c>
      <c r="E318" s="6">
        <v>68.5</v>
      </c>
      <c r="F318" s="6">
        <v>46.1</v>
      </c>
    </row>
    <row r="319" spans="1:6" x14ac:dyDescent="0.3">
      <c r="A319" s="4" t="s">
        <v>33</v>
      </c>
      <c r="B319" s="4">
        <v>1087</v>
      </c>
      <c r="C319" s="6" t="s">
        <v>44</v>
      </c>
      <c r="D319" s="6" t="s">
        <v>40</v>
      </c>
      <c r="E319" s="6">
        <v>61</v>
      </c>
      <c r="F319" s="6">
        <v>46.5</v>
      </c>
    </row>
    <row r="320" spans="1:6" x14ac:dyDescent="0.3">
      <c r="A320" s="4" t="s">
        <v>33</v>
      </c>
      <c r="B320" s="4">
        <v>596</v>
      </c>
      <c r="C320" s="6" t="s">
        <v>44</v>
      </c>
      <c r="D320" s="6" t="s">
        <v>40</v>
      </c>
      <c r="E320" s="6">
        <v>66.599999999999994</v>
      </c>
      <c r="F320" s="6">
        <v>46.6</v>
      </c>
    </row>
    <row r="321" spans="1:6" x14ac:dyDescent="0.3">
      <c r="A321" s="4" t="s">
        <v>33</v>
      </c>
      <c r="B321" s="4">
        <v>387</v>
      </c>
      <c r="C321" s="6" t="s">
        <v>44</v>
      </c>
      <c r="D321" s="6" t="s">
        <v>40</v>
      </c>
      <c r="E321" s="6">
        <v>70.5</v>
      </c>
      <c r="F321" s="6">
        <v>46.9</v>
      </c>
    </row>
    <row r="322" spans="1:6" x14ac:dyDescent="0.3">
      <c r="A322" s="4" t="s">
        <v>33</v>
      </c>
      <c r="B322" s="4">
        <v>328</v>
      </c>
      <c r="C322" s="6" t="s">
        <v>44</v>
      </c>
      <c r="D322" s="6" t="s">
        <v>40</v>
      </c>
      <c r="E322" s="6">
        <v>71.099999999999994</v>
      </c>
      <c r="F322" s="6">
        <v>47</v>
      </c>
    </row>
    <row r="323" spans="1:6" x14ac:dyDescent="0.3">
      <c r="A323" s="4" t="s">
        <v>33</v>
      </c>
      <c r="B323" s="4">
        <v>354</v>
      </c>
      <c r="C323" s="6" t="s">
        <v>44</v>
      </c>
      <c r="D323" s="6" t="s">
        <v>40</v>
      </c>
      <c r="E323" s="6">
        <v>70.8</v>
      </c>
      <c r="F323" s="6">
        <v>47.3</v>
      </c>
    </row>
    <row r="324" spans="1:6" x14ac:dyDescent="0.3">
      <c r="A324" s="4" t="s">
        <v>33</v>
      </c>
      <c r="B324" s="4">
        <v>1105</v>
      </c>
      <c r="C324" s="6" t="s">
        <v>44</v>
      </c>
      <c r="D324" s="6" t="s">
        <v>40</v>
      </c>
      <c r="E324" s="6">
        <v>65.5</v>
      </c>
      <c r="F324" s="6">
        <v>49</v>
      </c>
    </row>
    <row r="325" spans="1:6" x14ac:dyDescent="0.3">
      <c r="A325" s="4" t="s">
        <v>33</v>
      </c>
      <c r="B325" s="4">
        <v>416</v>
      </c>
      <c r="C325" s="6" t="s">
        <v>44</v>
      </c>
      <c r="D325" s="6" t="s">
        <v>40</v>
      </c>
      <c r="E325" s="6">
        <v>57</v>
      </c>
      <c r="F325" s="6">
        <v>49.9</v>
      </c>
    </row>
    <row r="326" spans="1:6" x14ac:dyDescent="0.3">
      <c r="A326" s="4" t="s">
        <v>33</v>
      </c>
      <c r="B326" s="4">
        <v>637</v>
      </c>
      <c r="C326" s="6" t="s">
        <v>44</v>
      </c>
      <c r="D326" s="6" t="s">
        <v>40</v>
      </c>
      <c r="E326" s="6">
        <v>70.400000000000006</v>
      </c>
      <c r="F326" s="6">
        <v>50</v>
      </c>
    </row>
    <row r="327" spans="1:6" x14ac:dyDescent="0.3">
      <c r="A327" s="4" t="s">
        <v>33</v>
      </c>
      <c r="B327" s="4">
        <v>1149</v>
      </c>
      <c r="C327" s="6" t="s">
        <v>44</v>
      </c>
      <c r="D327" s="6" t="s">
        <v>40</v>
      </c>
      <c r="E327" s="6">
        <v>73.400000000000006</v>
      </c>
      <c r="F327" s="6">
        <v>51.4</v>
      </c>
    </row>
    <row r="328" spans="1:6" x14ac:dyDescent="0.3">
      <c r="A328" s="4" t="s">
        <v>33</v>
      </c>
      <c r="B328" s="4">
        <v>556</v>
      </c>
      <c r="C328" s="6" t="s">
        <v>44</v>
      </c>
      <c r="D328" s="6" t="s">
        <v>39</v>
      </c>
      <c r="E328" s="6">
        <v>47.9</v>
      </c>
      <c r="F328" s="6">
        <v>31.7</v>
      </c>
    </row>
    <row r="329" spans="1:6" x14ac:dyDescent="0.3">
      <c r="A329" s="4" t="s">
        <v>33</v>
      </c>
      <c r="B329" s="4">
        <v>1052</v>
      </c>
      <c r="C329" s="6" t="s">
        <v>44</v>
      </c>
      <c r="D329" s="6" t="s">
        <v>39</v>
      </c>
      <c r="E329" s="6">
        <v>52.5</v>
      </c>
      <c r="F329" s="6">
        <v>35</v>
      </c>
    </row>
    <row r="330" spans="1:6" x14ac:dyDescent="0.3">
      <c r="A330" s="4" t="s">
        <v>33</v>
      </c>
      <c r="B330" s="4">
        <v>1018</v>
      </c>
      <c r="C330" s="6" t="s">
        <v>44</v>
      </c>
      <c r="D330" s="6" t="s">
        <v>39</v>
      </c>
      <c r="E330" s="6">
        <v>58.5</v>
      </c>
      <c r="F330" s="6">
        <v>37.200000000000003</v>
      </c>
    </row>
    <row r="331" spans="1:6" x14ac:dyDescent="0.3">
      <c r="A331" s="4" t="s">
        <v>33</v>
      </c>
      <c r="B331" s="4">
        <v>164</v>
      </c>
      <c r="C331" s="6" t="s">
        <v>44</v>
      </c>
      <c r="D331" s="6" t="s">
        <v>39</v>
      </c>
      <c r="E331" s="6">
        <v>60</v>
      </c>
      <c r="F331" s="6">
        <v>38</v>
      </c>
    </row>
    <row r="332" spans="1:6" x14ac:dyDescent="0.3">
      <c r="A332" s="4" t="s">
        <v>33</v>
      </c>
      <c r="B332" s="4">
        <v>678</v>
      </c>
      <c r="C332" s="6" t="s">
        <v>44</v>
      </c>
      <c r="D332" s="6" t="s">
        <v>39</v>
      </c>
      <c r="E332" s="6">
        <v>63</v>
      </c>
      <c r="F332" s="6">
        <v>38</v>
      </c>
    </row>
    <row r="333" spans="1:6" x14ac:dyDescent="0.3">
      <c r="A333" s="4" t="s">
        <v>33</v>
      </c>
      <c r="B333" s="4">
        <v>296</v>
      </c>
      <c r="C333" s="6" t="s">
        <v>44</v>
      </c>
      <c r="D333" s="6" t="s">
        <v>39</v>
      </c>
      <c r="E333" s="6">
        <v>59.5</v>
      </c>
      <c r="F333" s="6">
        <v>39</v>
      </c>
    </row>
    <row r="334" spans="1:6" x14ac:dyDescent="0.3">
      <c r="A334" s="4" t="s">
        <v>33</v>
      </c>
      <c r="B334" s="4">
        <v>1010</v>
      </c>
      <c r="C334" s="6" t="s">
        <v>44</v>
      </c>
      <c r="D334" s="6" t="s">
        <v>39</v>
      </c>
      <c r="E334" s="6">
        <v>59.5</v>
      </c>
      <c r="F334" s="6">
        <v>39.1</v>
      </c>
    </row>
    <row r="335" spans="1:6" x14ac:dyDescent="0.3">
      <c r="A335" s="4" t="s">
        <v>33</v>
      </c>
      <c r="B335" s="4">
        <v>674</v>
      </c>
      <c r="C335" s="6" t="s">
        <v>44</v>
      </c>
      <c r="D335" s="6" t="s">
        <v>39</v>
      </c>
      <c r="E335" s="6">
        <v>56</v>
      </c>
      <c r="F335" s="6">
        <v>40</v>
      </c>
    </row>
    <row r="336" spans="1:6" x14ac:dyDescent="0.3">
      <c r="A336" s="4" t="s">
        <v>33</v>
      </c>
      <c r="B336" s="4">
        <v>187</v>
      </c>
      <c r="C336" s="6" t="s">
        <v>44</v>
      </c>
      <c r="D336" s="6" t="s">
        <v>39</v>
      </c>
      <c r="E336" s="6">
        <v>64.8</v>
      </c>
      <c r="F336" s="6">
        <v>40.4</v>
      </c>
    </row>
    <row r="337" spans="1:6" x14ac:dyDescent="0.3">
      <c r="A337" s="4" t="s">
        <v>33</v>
      </c>
      <c r="B337" s="4">
        <v>511</v>
      </c>
      <c r="C337" s="6" t="s">
        <v>44</v>
      </c>
      <c r="D337" s="6" t="s">
        <v>39</v>
      </c>
      <c r="E337" s="6">
        <v>62.1</v>
      </c>
      <c r="F337" s="6">
        <v>40.6</v>
      </c>
    </row>
    <row r="338" spans="1:6" x14ac:dyDescent="0.3">
      <c r="A338" s="4" t="s">
        <v>33</v>
      </c>
      <c r="B338" s="4">
        <v>228</v>
      </c>
      <c r="C338" s="6" t="s">
        <v>44</v>
      </c>
      <c r="D338" s="6" t="s">
        <v>39</v>
      </c>
      <c r="E338" s="6">
        <v>66.099999999999994</v>
      </c>
      <c r="F338" s="6">
        <v>40.700000000000003</v>
      </c>
    </row>
    <row r="339" spans="1:6" x14ac:dyDescent="0.3">
      <c r="A339" s="4" t="s">
        <v>33</v>
      </c>
      <c r="B339" s="4">
        <v>199</v>
      </c>
      <c r="C339" s="6" t="s">
        <v>44</v>
      </c>
      <c r="D339" s="6" t="s">
        <v>39</v>
      </c>
      <c r="E339" s="6">
        <v>62.1</v>
      </c>
      <c r="F339" s="6">
        <v>40.799999999999997</v>
      </c>
    </row>
    <row r="340" spans="1:6" x14ac:dyDescent="0.3">
      <c r="A340" s="4" t="s">
        <v>33</v>
      </c>
      <c r="B340" s="4">
        <v>322</v>
      </c>
      <c r="C340" s="6" t="s">
        <v>44</v>
      </c>
      <c r="D340" s="6" t="s">
        <v>39</v>
      </c>
      <c r="E340" s="6">
        <v>60.7</v>
      </c>
      <c r="F340" s="6">
        <v>40.9</v>
      </c>
    </row>
    <row r="341" spans="1:6" x14ac:dyDescent="0.3">
      <c r="A341" s="4" t="s">
        <v>33</v>
      </c>
      <c r="B341" s="4">
        <v>301</v>
      </c>
      <c r="C341" s="6" t="s">
        <v>44</v>
      </c>
      <c r="D341" s="6" t="s">
        <v>39</v>
      </c>
      <c r="E341" s="6">
        <v>67</v>
      </c>
      <c r="F341" s="6">
        <v>41</v>
      </c>
    </row>
    <row r="342" spans="1:6" x14ac:dyDescent="0.3">
      <c r="A342" s="4" t="s">
        <v>33</v>
      </c>
      <c r="B342" s="4">
        <v>1009</v>
      </c>
      <c r="C342" s="6" t="s">
        <v>44</v>
      </c>
      <c r="D342" s="6" t="s">
        <v>39</v>
      </c>
      <c r="E342" s="6">
        <v>54.5</v>
      </c>
      <c r="F342" s="6">
        <v>41.4</v>
      </c>
    </row>
    <row r="343" spans="1:6" x14ac:dyDescent="0.3">
      <c r="A343" s="4" t="s">
        <v>33</v>
      </c>
      <c r="B343" s="4">
        <v>190</v>
      </c>
      <c r="C343" s="6" t="s">
        <v>44</v>
      </c>
      <c r="D343" s="6" t="s">
        <v>39</v>
      </c>
      <c r="E343" s="6">
        <v>61.5</v>
      </c>
      <c r="F343" s="6">
        <v>41.5</v>
      </c>
    </row>
    <row r="344" spans="1:6" x14ac:dyDescent="0.3">
      <c r="A344" s="4" t="s">
        <v>33</v>
      </c>
      <c r="B344" s="4">
        <v>994</v>
      </c>
      <c r="C344" s="6" t="s">
        <v>44</v>
      </c>
      <c r="D344" s="6" t="s">
        <v>39</v>
      </c>
      <c r="E344" s="6">
        <v>62.2</v>
      </c>
      <c r="F344" s="6">
        <v>41.5</v>
      </c>
    </row>
    <row r="345" spans="1:6" x14ac:dyDescent="0.3">
      <c r="A345" s="4" t="s">
        <v>33</v>
      </c>
      <c r="B345" s="4">
        <v>230</v>
      </c>
      <c r="C345" s="6" t="s">
        <v>44</v>
      </c>
      <c r="D345" s="6" t="s">
        <v>39</v>
      </c>
      <c r="E345" s="6">
        <v>67.599999999999994</v>
      </c>
      <c r="F345" s="6">
        <v>41.5</v>
      </c>
    </row>
    <row r="346" spans="1:6" x14ac:dyDescent="0.3">
      <c r="A346" s="4" t="s">
        <v>33</v>
      </c>
      <c r="B346" s="4">
        <v>1075</v>
      </c>
      <c r="C346" s="6" t="s">
        <v>44</v>
      </c>
      <c r="D346" s="6" t="s">
        <v>39</v>
      </c>
      <c r="E346" s="6">
        <v>53.9</v>
      </c>
      <c r="F346" s="6">
        <v>41.6</v>
      </c>
    </row>
    <row r="347" spans="1:6" x14ac:dyDescent="0.3">
      <c r="A347" s="4" t="s">
        <v>33</v>
      </c>
      <c r="B347" s="4">
        <v>373</v>
      </c>
      <c r="C347" s="6" t="s">
        <v>44</v>
      </c>
      <c r="D347" s="6" t="s">
        <v>39</v>
      </c>
      <c r="E347" s="6">
        <v>62.3</v>
      </c>
      <c r="F347" s="6">
        <v>41.6</v>
      </c>
    </row>
    <row r="348" spans="1:6" x14ac:dyDescent="0.3">
      <c r="A348" s="4" t="s">
        <v>33</v>
      </c>
      <c r="B348" s="4">
        <v>995</v>
      </c>
      <c r="C348" s="6" t="s">
        <v>44</v>
      </c>
      <c r="D348" s="6" t="s">
        <v>39</v>
      </c>
      <c r="E348" s="6">
        <v>62.5</v>
      </c>
      <c r="F348" s="6">
        <v>41.8</v>
      </c>
    </row>
    <row r="349" spans="1:6" x14ac:dyDescent="0.3">
      <c r="A349" s="4" t="s">
        <v>33</v>
      </c>
      <c r="B349" s="4">
        <v>999</v>
      </c>
      <c r="C349" s="6" t="s">
        <v>44</v>
      </c>
      <c r="D349" s="6" t="s">
        <v>39</v>
      </c>
      <c r="E349" s="6">
        <v>63.4</v>
      </c>
      <c r="F349" s="6">
        <v>41.9</v>
      </c>
    </row>
    <row r="350" spans="1:6" x14ac:dyDescent="0.3">
      <c r="A350" s="4" t="s">
        <v>33</v>
      </c>
      <c r="B350" s="4">
        <v>327</v>
      </c>
      <c r="C350" s="6" t="s">
        <v>44</v>
      </c>
      <c r="D350" s="6" t="s">
        <v>39</v>
      </c>
      <c r="E350" s="6">
        <v>66.599999999999994</v>
      </c>
      <c r="F350" s="6">
        <v>41.9</v>
      </c>
    </row>
    <row r="351" spans="1:6" x14ac:dyDescent="0.3">
      <c r="A351" s="4" t="s">
        <v>33</v>
      </c>
      <c r="B351" s="4">
        <v>469</v>
      </c>
      <c r="C351" s="6" t="s">
        <v>44</v>
      </c>
      <c r="D351" s="6" t="s">
        <v>39</v>
      </c>
      <c r="E351" s="6">
        <v>67.599999999999994</v>
      </c>
      <c r="F351" s="6">
        <v>42</v>
      </c>
    </row>
    <row r="352" spans="1:6" x14ac:dyDescent="0.3">
      <c r="A352" s="4" t="s">
        <v>33</v>
      </c>
      <c r="B352" s="4">
        <v>319</v>
      </c>
      <c r="C352" s="6" t="s">
        <v>44</v>
      </c>
      <c r="D352" s="6" t="s">
        <v>39</v>
      </c>
      <c r="E352" s="6">
        <v>68</v>
      </c>
      <c r="F352" s="6">
        <v>42</v>
      </c>
    </row>
    <row r="353" spans="1:6" x14ac:dyDescent="0.3">
      <c r="A353" s="4" t="s">
        <v>33</v>
      </c>
      <c r="B353" s="4">
        <v>484</v>
      </c>
      <c r="C353" s="6" t="s">
        <v>44</v>
      </c>
      <c r="D353" s="6" t="s">
        <v>39</v>
      </c>
      <c r="E353" s="6">
        <v>62</v>
      </c>
      <c r="F353" s="6">
        <v>42.2</v>
      </c>
    </row>
    <row r="354" spans="1:6" x14ac:dyDescent="0.3">
      <c r="A354" s="4" t="s">
        <v>33</v>
      </c>
      <c r="B354" s="4">
        <v>481</v>
      </c>
      <c r="C354" s="6" t="s">
        <v>44</v>
      </c>
      <c r="D354" s="6" t="s">
        <v>39</v>
      </c>
      <c r="E354" s="6">
        <v>59.1</v>
      </c>
      <c r="F354" s="6">
        <v>42.5</v>
      </c>
    </row>
    <row r="355" spans="1:6" x14ac:dyDescent="0.3">
      <c r="A355" s="4" t="s">
        <v>33</v>
      </c>
      <c r="B355" s="4">
        <v>340</v>
      </c>
      <c r="C355" s="6" t="s">
        <v>44</v>
      </c>
      <c r="D355" s="6" t="s">
        <v>39</v>
      </c>
      <c r="E355" s="6">
        <v>61.4</v>
      </c>
      <c r="F355" s="6">
        <v>42.5</v>
      </c>
    </row>
    <row r="356" spans="1:6" x14ac:dyDescent="0.3">
      <c r="A356" s="4" t="s">
        <v>33</v>
      </c>
      <c r="B356" s="4">
        <v>1103</v>
      </c>
      <c r="C356" s="6" t="s">
        <v>44</v>
      </c>
      <c r="D356" s="6" t="s">
        <v>39</v>
      </c>
      <c r="E356" s="6">
        <v>66</v>
      </c>
      <c r="F356" s="6">
        <v>42.5</v>
      </c>
    </row>
    <row r="357" spans="1:6" x14ac:dyDescent="0.3">
      <c r="A357" s="4" t="s">
        <v>33</v>
      </c>
      <c r="B357" s="4">
        <v>312</v>
      </c>
      <c r="C357" s="6" t="s">
        <v>44</v>
      </c>
      <c r="D357" s="6" t="s">
        <v>39</v>
      </c>
      <c r="E357" s="6">
        <v>66.5</v>
      </c>
      <c r="F357" s="6">
        <v>42.5</v>
      </c>
    </row>
    <row r="358" spans="1:6" x14ac:dyDescent="0.3">
      <c r="A358" s="4" t="s">
        <v>33</v>
      </c>
      <c r="B358" s="4">
        <v>198</v>
      </c>
      <c r="C358" s="6" t="s">
        <v>44</v>
      </c>
      <c r="D358" s="6" t="s">
        <v>39</v>
      </c>
      <c r="E358" s="6">
        <v>54.3</v>
      </c>
      <c r="F358" s="6">
        <v>42.6</v>
      </c>
    </row>
    <row r="359" spans="1:6" x14ac:dyDescent="0.3">
      <c r="A359" s="4" t="s">
        <v>33</v>
      </c>
      <c r="B359" s="4">
        <v>311</v>
      </c>
      <c r="C359" s="6" t="s">
        <v>44</v>
      </c>
      <c r="D359" s="6" t="s">
        <v>39</v>
      </c>
      <c r="E359" s="6">
        <v>55</v>
      </c>
      <c r="F359" s="6">
        <v>42.6</v>
      </c>
    </row>
    <row r="360" spans="1:6" x14ac:dyDescent="0.3">
      <c r="A360" s="4" t="s">
        <v>33</v>
      </c>
      <c r="B360" s="4">
        <v>315</v>
      </c>
      <c r="C360" s="6" t="s">
        <v>44</v>
      </c>
      <c r="D360" s="6" t="s">
        <v>39</v>
      </c>
      <c r="E360" s="6">
        <v>63</v>
      </c>
      <c r="F360" s="6">
        <v>42.6</v>
      </c>
    </row>
    <row r="361" spans="1:6" x14ac:dyDescent="0.3">
      <c r="A361" s="4" t="s">
        <v>33</v>
      </c>
      <c r="B361" s="4">
        <v>981</v>
      </c>
      <c r="C361" s="6" t="s">
        <v>44</v>
      </c>
      <c r="D361" s="6" t="s">
        <v>39</v>
      </c>
      <c r="E361" s="6">
        <v>64.8</v>
      </c>
      <c r="F361" s="6">
        <v>42.6</v>
      </c>
    </row>
    <row r="362" spans="1:6" x14ac:dyDescent="0.3">
      <c r="A362" s="4" t="s">
        <v>33</v>
      </c>
      <c r="B362" s="4">
        <v>264</v>
      </c>
      <c r="C362" s="6" t="s">
        <v>44</v>
      </c>
      <c r="D362" s="6" t="s">
        <v>39</v>
      </c>
      <c r="E362" s="6">
        <v>60.2</v>
      </c>
      <c r="F362" s="6">
        <v>42.7</v>
      </c>
    </row>
    <row r="363" spans="1:6" x14ac:dyDescent="0.3">
      <c r="A363" s="4" t="s">
        <v>33</v>
      </c>
      <c r="B363" s="4">
        <v>845</v>
      </c>
      <c r="C363" s="6" t="s">
        <v>44</v>
      </c>
      <c r="D363" s="6" t="s">
        <v>39</v>
      </c>
      <c r="E363" s="6">
        <v>64.2</v>
      </c>
      <c r="F363" s="6">
        <v>42.7</v>
      </c>
    </row>
    <row r="364" spans="1:6" x14ac:dyDescent="0.3">
      <c r="A364" s="4" t="s">
        <v>33</v>
      </c>
      <c r="B364" s="4">
        <v>260</v>
      </c>
      <c r="C364" s="6" t="s">
        <v>44</v>
      </c>
      <c r="D364" s="6" t="s">
        <v>39</v>
      </c>
      <c r="E364" s="6">
        <v>66.3</v>
      </c>
      <c r="F364" s="6">
        <v>42.7</v>
      </c>
    </row>
    <row r="365" spans="1:6" x14ac:dyDescent="0.3">
      <c r="A365" s="4" t="s">
        <v>33</v>
      </c>
      <c r="B365" s="4">
        <v>234</v>
      </c>
      <c r="C365" s="6" t="s">
        <v>44</v>
      </c>
      <c r="D365" s="6" t="s">
        <v>39</v>
      </c>
      <c r="E365" s="6">
        <v>66.599999999999994</v>
      </c>
      <c r="F365" s="6">
        <v>42.7</v>
      </c>
    </row>
    <row r="366" spans="1:6" x14ac:dyDescent="0.3">
      <c r="A366" s="4" t="s">
        <v>33</v>
      </c>
      <c r="B366" s="4">
        <v>584</v>
      </c>
      <c r="C366" s="6" t="s">
        <v>44</v>
      </c>
      <c r="D366" s="6" t="s">
        <v>39</v>
      </c>
      <c r="E366" s="6">
        <v>65.5</v>
      </c>
      <c r="F366" s="6">
        <v>42.8</v>
      </c>
    </row>
    <row r="367" spans="1:6" x14ac:dyDescent="0.3">
      <c r="A367" s="4" t="s">
        <v>33</v>
      </c>
      <c r="B367" s="4">
        <v>1071</v>
      </c>
      <c r="C367" s="6" t="s">
        <v>44</v>
      </c>
      <c r="D367" s="6" t="s">
        <v>39</v>
      </c>
      <c r="E367" s="6">
        <v>68.8</v>
      </c>
      <c r="F367" s="6">
        <v>42.9</v>
      </c>
    </row>
    <row r="368" spans="1:6" x14ac:dyDescent="0.3">
      <c r="A368" s="4" t="s">
        <v>33</v>
      </c>
      <c r="B368" s="4">
        <v>323</v>
      </c>
      <c r="C368" s="6" t="s">
        <v>44</v>
      </c>
      <c r="D368" s="6" t="s">
        <v>39</v>
      </c>
      <c r="E368" s="6">
        <v>66</v>
      </c>
      <c r="F368" s="6">
        <v>43</v>
      </c>
    </row>
    <row r="369" spans="1:6" x14ac:dyDescent="0.3">
      <c r="A369" s="4" t="s">
        <v>33</v>
      </c>
      <c r="B369" s="4">
        <v>335</v>
      </c>
      <c r="C369" s="6" t="s">
        <v>44</v>
      </c>
      <c r="D369" s="6" t="s">
        <v>39</v>
      </c>
      <c r="E369" s="6">
        <v>64.5</v>
      </c>
      <c r="F369" s="6">
        <v>43.2</v>
      </c>
    </row>
    <row r="370" spans="1:6" x14ac:dyDescent="0.3">
      <c r="A370" s="4" t="s">
        <v>33</v>
      </c>
      <c r="B370" s="4">
        <v>667</v>
      </c>
      <c r="C370" s="6" t="s">
        <v>44</v>
      </c>
      <c r="D370" s="6" t="s">
        <v>39</v>
      </c>
      <c r="E370" s="6">
        <v>64.599999999999994</v>
      </c>
      <c r="F370" s="6">
        <v>43.2</v>
      </c>
    </row>
    <row r="371" spans="1:6" x14ac:dyDescent="0.3">
      <c r="A371" s="4" t="s">
        <v>33</v>
      </c>
      <c r="B371" s="4">
        <v>1067</v>
      </c>
      <c r="C371" s="6" t="s">
        <v>44</v>
      </c>
      <c r="D371" s="6" t="s">
        <v>39</v>
      </c>
      <c r="E371" s="6">
        <v>67.7</v>
      </c>
      <c r="F371" s="6">
        <v>43.2</v>
      </c>
    </row>
    <row r="372" spans="1:6" x14ac:dyDescent="0.3">
      <c r="A372" s="4" t="s">
        <v>33</v>
      </c>
      <c r="B372" s="4">
        <v>856</v>
      </c>
      <c r="C372" s="6" t="s">
        <v>44</v>
      </c>
      <c r="D372" s="6" t="s">
        <v>39</v>
      </c>
      <c r="E372" s="6">
        <v>66.900000000000006</v>
      </c>
      <c r="F372" s="6">
        <v>43.3</v>
      </c>
    </row>
    <row r="373" spans="1:6" x14ac:dyDescent="0.3">
      <c r="A373" s="4" t="s">
        <v>33</v>
      </c>
      <c r="B373" s="4">
        <v>268</v>
      </c>
      <c r="C373" s="6" t="s">
        <v>44</v>
      </c>
      <c r="D373" s="6" t="s">
        <v>39</v>
      </c>
      <c r="E373" s="6">
        <v>70.099999999999994</v>
      </c>
      <c r="F373" s="6">
        <v>43.3</v>
      </c>
    </row>
    <row r="374" spans="1:6" x14ac:dyDescent="0.3">
      <c r="A374" s="4" t="s">
        <v>33</v>
      </c>
      <c r="B374" s="4">
        <v>1040</v>
      </c>
      <c r="C374" s="6" t="s">
        <v>44</v>
      </c>
      <c r="D374" s="6" t="s">
        <v>39</v>
      </c>
      <c r="E374" s="6">
        <v>66.400000000000006</v>
      </c>
      <c r="F374" s="6">
        <v>43.4</v>
      </c>
    </row>
    <row r="375" spans="1:6" x14ac:dyDescent="0.3">
      <c r="A375" s="4" t="s">
        <v>33</v>
      </c>
      <c r="B375" s="4">
        <v>687</v>
      </c>
      <c r="C375" s="6" t="s">
        <v>44</v>
      </c>
      <c r="D375" s="6" t="s">
        <v>39</v>
      </c>
      <c r="E375" s="6">
        <v>54.3</v>
      </c>
      <c r="F375" s="6">
        <v>43.5</v>
      </c>
    </row>
    <row r="376" spans="1:6" x14ac:dyDescent="0.3">
      <c r="A376" s="4" t="s">
        <v>33</v>
      </c>
      <c r="B376" s="4">
        <v>212</v>
      </c>
      <c r="C376" s="6" t="s">
        <v>44</v>
      </c>
      <c r="D376" s="6" t="s">
        <v>39</v>
      </c>
      <c r="E376" s="6">
        <v>64.5</v>
      </c>
      <c r="F376" s="6">
        <v>43.5</v>
      </c>
    </row>
    <row r="377" spans="1:6" x14ac:dyDescent="0.3">
      <c r="A377" s="4" t="s">
        <v>33</v>
      </c>
      <c r="B377" s="4">
        <v>305</v>
      </c>
      <c r="C377" s="6" t="s">
        <v>44</v>
      </c>
      <c r="D377" s="6" t="s">
        <v>39</v>
      </c>
      <c r="E377" s="6">
        <v>65.400000000000006</v>
      </c>
      <c r="F377" s="6">
        <v>43.5</v>
      </c>
    </row>
    <row r="378" spans="1:6" x14ac:dyDescent="0.3">
      <c r="A378" s="4" t="s">
        <v>33</v>
      </c>
      <c r="B378" s="4">
        <v>1016</v>
      </c>
      <c r="C378" s="6" t="s">
        <v>44</v>
      </c>
      <c r="D378" s="6" t="s">
        <v>39</v>
      </c>
      <c r="E378" s="6">
        <v>65.900000000000006</v>
      </c>
      <c r="F378" s="6">
        <v>43.5</v>
      </c>
    </row>
    <row r="379" spans="1:6" x14ac:dyDescent="0.3">
      <c r="A379" s="4" t="s">
        <v>33</v>
      </c>
      <c r="B379" s="4">
        <v>209</v>
      </c>
      <c r="C379" s="6" t="s">
        <v>44</v>
      </c>
      <c r="D379" s="6" t="s">
        <v>39</v>
      </c>
      <c r="E379" s="6">
        <v>66</v>
      </c>
      <c r="F379" s="6">
        <v>43.5</v>
      </c>
    </row>
    <row r="380" spans="1:6" x14ac:dyDescent="0.3">
      <c r="A380" s="4" t="s">
        <v>33</v>
      </c>
      <c r="B380" s="4">
        <v>297</v>
      </c>
      <c r="C380" s="6" t="s">
        <v>44</v>
      </c>
      <c r="D380" s="6" t="s">
        <v>39</v>
      </c>
      <c r="E380" s="6">
        <v>66</v>
      </c>
      <c r="F380" s="6">
        <v>43.5</v>
      </c>
    </row>
    <row r="381" spans="1:6" x14ac:dyDescent="0.3">
      <c r="A381" s="4" t="s">
        <v>33</v>
      </c>
      <c r="B381" s="4">
        <v>334</v>
      </c>
      <c r="C381" s="6" t="s">
        <v>44</v>
      </c>
      <c r="D381" s="6" t="s">
        <v>39</v>
      </c>
      <c r="E381" s="6">
        <v>66.7</v>
      </c>
      <c r="F381" s="6">
        <v>43.5</v>
      </c>
    </row>
    <row r="382" spans="1:6" x14ac:dyDescent="0.3">
      <c r="A382" s="4" t="s">
        <v>33</v>
      </c>
      <c r="B382" s="4">
        <v>374</v>
      </c>
      <c r="C382" s="6" t="s">
        <v>44</v>
      </c>
      <c r="D382" s="6" t="s">
        <v>39</v>
      </c>
      <c r="E382" s="6">
        <v>69.900000000000006</v>
      </c>
      <c r="F382" s="6">
        <v>43.5</v>
      </c>
    </row>
    <row r="383" spans="1:6" x14ac:dyDescent="0.3">
      <c r="A383" s="4" t="s">
        <v>33</v>
      </c>
      <c r="B383" s="4">
        <v>528</v>
      </c>
      <c r="C383" s="6" t="s">
        <v>44</v>
      </c>
      <c r="D383" s="6" t="s">
        <v>39</v>
      </c>
      <c r="E383" s="6">
        <v>53.5</v>
      </c>
      <c r="F383" s="6">
        <v>43.6</v>
      </c>
    </row>
    <row r="384" spans="1:6" x14ac:dyDescent="0.3">
      <c r="A384" s="4" t="s">
        <v>33</v>
      </c>
      <c r="B384" s="4">
        <v>962</v>
      </c>
      <c r="C384" s="6" t="s">
        <v>44</v>
      </c>
      <c r="D384" s="6" t="s">
        <v>39</v>
      </c>
      <c r="E384" s="6">
        <v>63.4</v>
      </c>
      <c r="F384" s="6">
        <v>43.7</v>
      </c>
    </row>
    <row r="385" spans="1:6" x14ac:dyDescent="0.3">
      <c r="A385" s="4" t="s">
        <v>33</v>
      </c>
      <c r="B385" s="4">
        <v>661</v>
      </c>
      <c r="C385" s="6" t="s">
        <v>44</v>
      </c>
      <c r="D385" s="6" t="s">
        <v>39</v>
      </c>
      <c r="E385" s="6">
        <v>64.8</v>
      </c>
      <c r="F385" s="6">
        <v>43.7</v>
      </c>
    </row>
    <row r="386" spans="1:6" x14ac:dyDescent="0.3">
      <c r="A386" s="4" t="s">
        <v>33</v>
      </c>
      <c r="B386" s="4">
        <v>399</v>
      </c>
      <c r="C386" s="6" t="s">
        <v>44</v>
      </c>
      <c r="D386" s="6" t="s">
        <v>39</v>
      </c>
      <c r="E386" s="6">
        <v>67.599999999999994</v>
      </c>
      <c r="F386" s="6">
        <v>43.7</v>
      </c>
    </row>
    <row r="387" spans="1:6" x14ac:dyDescent="0.3">
      <c r="A387" s="4" t="s">
        <v>33</v>
      </c>
      <c r="B387" s="4">
        <v>300</v>
      </c>
      <c r="C387" s="6" t="s">
        <v>44</v>
      </c>
      <c r="D387" s="6" t="s">
        <v>39</v>
      </c>
      <c r="E387" s="6">
        <v>58</v>
      </c>
      <c r="F387" s="6">
        <v>43.8</v>
      </c>
    </row>
    <row r="388" spans="1:6" x14ac:dyDescent="0.3">
      <c r="A388" s="4" t="s">
        <v>33</v>
      </c>
      <c r="B388" s="4">
        <v>679</v>
      </c>
      <c r="C388" s="6" t="s">
        <v>44</v>
      </c>
      <c r="D388" s="6" t="s">
        <v>39</v>
      </c>
      <c r="E388" s="6">
        <v>66.2</v>
      </c>
      <c r="F388" s="6">
        <v>43.8</v>
      </c>
    </row>
    <row r="389" spans="1:6" x14ac:dyDescent="0.3">
      <c r="A389" s="4" t="s">
        <v>33</v>
      </c>
      <c r="B389" s="4">
        <v>472</v>
      </c>
      <c r="C389" s="6" t="s">
        <v>44</v>
      </c>
      <c r="D389" s="6" t="s">
        <v>39</v>
      </c>
      <c r="E389" s="6">
        <v>69.2</v>
      </c>
      <c r="F389" s="6">
        <v>43.8</v>
      </c>
    </row>
    <row r="390" spans="1:6" x14ac:dyDescent="0.3">
      <c r="A390" s="4" t="s">
        <v>33</v>
      </c>
      <c r="B390" s="4">
        <v>855</v>
      </c>
      <c r="C390" s="6" t="s">
        <v>44</v>
      </c>
      <c r="D390" s="6" t="s">
        <v>39</v>
      </c>
      <c r="E390" s="6">
        <v>69.2</v>
      </c>
      <c r="F390" s="6">
        <v>43.8</v>
      </c>
    </row>
    <row r="391" spans="1:6" x14ac:dyDescent="0.3">
      <c r="A391" s="4" t="s">
        <v>33</v>
      </c>
      <c r="B391" s="4">
        <v>342</v>
      </c>
      <c r="C391" s="6" t="s">
        <v>44</v>
      </c>
      <c r="D391" s="6" t="s">
        <v>39</v>
      </c>
      <c r="E391" s="6">
        <v>62.5</v>
      </c>
      <c r="F391" s="6">
        <v>44</v>
      </c>
    </row>
    <row r="392" spans="1:6" x14ac:dyDescent="0.3">
      <c r="A392" s="4" t="s">
        <v>33</v>
      </c>
      <c r="B392" s="4">
        <v>655</v>
      </c>
      <c r="C392" s="6" t="s">
        <v>44</v>
      </c>
      <c r="D392" s="6" t="s">
        <v>39</v>
      </c>
      <c r="E392" s="6">
        <v>64.3</v>
      </c>
      <c r="F392" s="6">
        <v>44</v>
      </c>
    </row>
    <row r="393" spans="1:6" x14ac:dyDescent="0.3">
      <c r="A393" s="4" t="s">
        <v>33</v>
      </c>
      <c r="B393" s="4">
        <v>189</v>
      </c>
      <c r="C393" s="6" t="s">
        <v>44</v>
      </c>
      <c r="D393" s="6" t="s">
        <v>39</v>
      </c>
      <c r="E393" s="6">
        <v>65.3</v>
      </c>
      <c r="F393" s="6">
        <v>44</v>
      </c>
    </row>
    <row r="394" spans="1:6" x14ac:dyDescent="0.3">
      <c r="A394" s="4" t="s">
        <v>33</v>
      </c>
      <c r="B394" s="4">
        <v>307</v>
      </c>
      <c r="C394" s="6" t="s">
        <v>44</v>
      </c>
      <c r="D394" s="6" t="s">
        <v>39</v>
      </c>
      <c r="E394" s="6">
        <v>66</v>
      </c>
      <c r="F394" s="6">
        <v>44</v>
      </c>
    </row>
    <row r="395" spans="1:6" x14ac:dyDescent="0.3">
      <c r="A395" s="4" t="s">
        <v>33</v>
      </c>
      <c r="B395" s="4">
        <v>1033</v>
      </c>
      <c r="C395" s="6" t="s">
        <v>44</v>
      </c>
      <c r="D395" s="6" t="s">
        <v>39</v>
      </c>
      <c r="E395" s="6">
        <v>66.8</v>
      </c>
      <c r="F395" s="6">
        <v>44</v>
      </c>
    </row>
    <row r="396" spans="1:6" x14ac:dyDescent="0.3">
      <c r="A396" s="4" t="s">
        <v>33</v>
      </c>
      <c r="B396" s="4">
        <v>681</v>
      </c>
      <c r="C396" s="6" t="s">
        <v>44</v>
      </c>
      <c r="D396" s="6" t="s">
        <v>39</v>
      </c>
      <c r="E396" s="6">
        <v>67.8</v>
      </c>
      <c r="F396" s="6">
        <v>44</v>
      </c>
    </row>
    <row r="397" spans="1:6" x14ac:dyDescent="0.3">
      <c r="A397" s="4" t="s">
        <v>33</v>
      </c>
      <c r="B397" s="4">
        <v>627</v>
      </c>
      <c r="C397" s="6" t="s">
        <v>44</v>
      </c>
      <c r="D397" s="6" t="s">
        <v>39</v>
      </c>
      <c r="E397" s="6">
        <v>66.3</v>
      </c>
      <c r="F397" s="6">
        <v>44.1</v>
      </c>
    </row>
    <row r="398" spans="1:6" x14ac:dyDescent="0.3">
      <c r="A398" s="4" t="s">
        <v>33</v>
      </c>
      <c r="B398" s="4">
        <v>510</v>
      </c>
      <c r="C398" s="6" t="s">
        <v>44</v>
      </c>
      <c r="D398" s="6" t="s">
        <v>39</v>
      </c>
      <c r="E398" s="6">
        <v>51.5</v>
      </c>
      <c r="F398" s="6">
        <v>44.2</v>
      </c>
    </row>
    <row r="399" spans="1:6" x14ac:dyDescent="0.3">
      <c r="A399" s="4" t="s">
        <v>33</v>
      </c>
      <c r="B399" s="4">
        <v>299</v>
      </c>
      <c r="C399" s="6" t="s">
        <v>44</v>
      </c>
      <c r="D399" s="6" t="s">
        <v>39</v>
      </c>
      <c r="E399" s="6">
        <v>58.7</v>
      </c>
      <c r="F399" s="6">
        <v>44.2</v>
      </c>
    </row>
    <row r="400" spans="1:6" x14ac:dyDescent="0.3">
      <c r="A400" s="4" t="s">
        <v>33</v>
      </c>
      <c r="B400" s="4">
        <v>367</v>
      </c>
      <c r="C400" s="6" t="s">
        <v>44</v>
      </c>
      <c r="D400" s="6" t="s">
        <v>39</v>
      </c>
      <c r="E400" s="6">
        <v>66.900000000000006</v>
      </c>
      <c r="F400" s="6">
        <v>44.2</v>
      </c>
    </row>
    <row r="401" spans="1:6" x14ac:dyDescent="0.3">
      <c r="A401" s="4" t="s">
        <v>33</v>
      </c>
      <c r="B401" s="4">
        <v>321</v>
      </c>
      <c r="C401" s="6" t="s">
        <v>44</v>
      </c>
      <c r="D401" s="6" t="s">
        <v>39</v>
      </c>
      <c r="E401" s="6">
        <v>66.099999999999994</v>
      </c>
      <c r="F401" s="6">
        <v>44.3</v>
      </c>
    </row>
    <row r="402" spans="1:6" x14ac:dyDescent="0.3">
      <c r="A402" s="4" t="s">
        <v>33</v>
      </c>
      <c r="B402" s="4">
        <v>626</v>
      </c>
      <c r="C402" s="6" t="s">
        <v>44</v>
      </c>
      <c r="D402" s="6" t="s">
        <v>39</v>
      </c>
      <c r="E402" s="6">
        <v>59.8</v>
      </c>
      <c r="F402" s="6">
        <v>44.4</v>
      </c>
    </row>
    <row r="403" spans="1:6" x14ac:dyDescent="0.3">
      <c r="A403" s="4" t="s">
        <v>33</v>
      </c>
      <c r="B403" s="4">
        <v>397</v>
      </c>
      <c r="C403" s="6" t="s">
        <v>44</v>
      </c>
      <c r="D403" s="6" t="s">
        <v>39</v>
      </c>
      <c r="E403" s="6">
        <v>67.3</v>
      </c>
      <c r="F403" s="6">
        <v>44.4</v>
      </c>
    </row>
    <row r="404" spans="1:6" x14ac:dyDescent="0.3">
      <c r="A404" s="4" t="s">
        <v>33</v>
      </c>
      <c r="B404" s="4">
        <v>160</v>
      </c>
      <c r="C404" s="6" t="s">
        <v>44</v>
      </c>
      <c r="D404" s="6" t="s">
        <v>39</v>
      </c>
      <c r="E404" s="6">
        <v>61.5</v>
      </c>
      <c r="F404" s="6">
        <v>44.5</v>
      </c>
    </row>
    <row r="405" spans="1:6" x14ac:dyDescent="0.3">
      <c r="A405" s="4" t="s">
        <v>33</v>
      </c>
      <c r="B405" s="4">
        <v>336</v>
      </c>
      <c r="C405" s="6" t="s">
        <v>44</v>
      </c>
      <c r="D405" s="6" t="s">
        <v>39</v>
      </c>
      <c r="E405" s="6">
        <v>61.5</v>
      </c>
      <c r="F405" s="6">
        <v>44.5</v>
      </c>
    </row>
    <row r="406" spans="1:6" x14ac:dyDescent="0.3">
      <c r="A406" s="4" t="s">
        <v>33</v>
      </c>
      <c r="B406" s="4">
        <v>1022</v>
      </c>
      <c r="C406" s="6" t="s">
        <v>44</v>
      </c>
      <c r="D406" s="6" t="s">
        <v>39</v>
      </c>
      <c r="E406" s="6">
        <v>64</v>
      </c>
      <c r="F406" s="6">
        <v>44.5</v>
      </c>
    </row>
    <row r="407" spans="1:6" x14ac:dyDescent="0.3">
      <c r="A407" s="4" t="s">
        <v>33</v>
      </c>
      <c r="B407" s="4">
        <v>324</v>
      </c>
      <c r="C407" s="6" t="s">
        <v>44</v>
      </c>
      <c r="D407" s="6" t="s">
        <v>39</v>
      </c>
      <c r="E407" s="6">
        <v>64.5</v>
      </c>
      <c r="F407" s="6">
        <v>44.5</v>
      </c>
    </row>
    <row r="408" spans="1:6" x14ac:dyDescent="0.3">
      <c r="A408" s="4" t="s">
        <v>33</v>
      </c>
      <c r="B408" s="4">
        <v>1036</v>
      </c>
      <c r="C408" s="6" t="s">
        <v>44</v>
      </c>
      <c r="D408" s="6" t="s">
        <v>39</v>
      </c>
      <c r="E408" s="6">
        <v>67.3</v>
      </c>
      <c r="F408" s="6">
        <v>44.5</v>
      </c>
    </row>
    <row r="409" spans="1:6" x14ac:dyDescent="0.3">
      <c r="A409" s="4" t="s">
        <v>33</v>
      </c>
      <c r="B409" s="4">
        <v>684</v>
      </c>
      <c r="C409" s="6" t="s">
        <v>44</v>
      </c>
      <c r="D409" s="6" t="s">
        <v>39</v>
      </c>
      <c r="E409" s="6">
        <v>68.2</v>
      </c>
      <c r="F409" s="6">
        <v>44.5</v>
      </c>
    </row>
    <row r="410" spans="1:6" x14ac:dyDescent="0.3">
      <c r="A410" s="4" t="s">
        <v>33</v>
      </c>
      <c r="B410" s="4">
        <v>170</v>
      </c>
      <c r="C410" s="6" t="s">
        <v>44</v>
      </c>
      <c r="D410" s="6" t="s">
        <v>39</v>
      </c>
      <c r="E410" s="6">
        <v>68.5</v>
      </c>
      <c r="F410" s="6">
        <v>44.5</v>
      </c>
    </row>
    <row r="411" spans="1:6" x14ac:dyDescent="0.3">
      <c r="A411" s="4" t="s">
        <v>33</v>
      </c>
      <c r="B411" s="4">
        <v>587</v>
      </c>
      <c r="C411" s="6" t="s">
        <v>44</v>
      </c>
      <c r="D411" s="6" t="s">
        <v>39</v>
      </c>
      <c r="E411" s="6">
        <v>69.400000000000006</v>
      </c>
      <c r="F411" s="6">
        <v>44.5</v>
      </c>
    </row>
    <row r="412" spans="1:6" x14ac:dyDescent="0.3">
      <c r="A412" s="4" t="s">
        <v>33</v>
      </c>
      <c r="B412" s="4">
        <v>330</v>
      </c>
      <c r="C412" s="6" t="s">
        <v>44</v>
      </c>
      <c r="D412" s="6" t="s">
        <v>39</v>
      </c>
      <c r="E412" s="6">
        <v>70.2</v>
      </c>
      <c r="F412" s="6">
        <v>44.5</v>
      </c>
    </row>
    <row r="413" spans="1:6" x14ac:dyDescent="0.3">
      <c r="A413" s="4" t="s">
        <v>33</v>
      </c>
      <c r="B413" s="4">
        <v>219</v>
      </c>
      <c r="C413" s="6" t="s">
        <v>44</v>
      </c>
      <c r="D413" s="6" t="s">
        <v>39</v>
      </c>
      <c r="E413" s="6">
        <v>68.5</v>
      </c>
      <c r="F413" s="6">
        <v>44.7</v>
      </c>
    </row>
    <row r="414" spans="1:6" x14ac:dyDescent="0.3">
      <c r="A414" s="4" t="s">
        <v>33</v>
      </c>
      <c r="B414" s="4">
        <v>412</v>
      </c>
      <c r="C414" s="6" t="s">
        <v>44</v>
      </c>
      <c r="D414" s="6" t="s">
        <v>39</v>
      </c>
      <c r="E414" s="6">
        <v>54.1</v>
      </c>
      <c r="F414" s="6">
        <v>44.8</v>
      </c>
    </row>
    <row r="415" spans="1:6" x14ac:dyDescent="0.3">
      <c r="A415" s="4" t="s">
        <v>33</v>
      </c>
      <c r="B415" s="4">
        <v>269</v>
      </c>
      <c r="C415" s="6" t="s">
        <v>44</v>
      </c>
      <c r="D415" s="6" t="s">
        <v>39</v>
      </c>
      <c r="E415" s="6">
        <v>74.599999999999994</v>
      </c>
      <c r="F415" s="6">
        <v>44.8</v>
      </c>
    </row>
    <row r="416" spans="1:6" x14ac:dyDescent="0.3">
      <c r="A416" s="4" t="s">
        <v>33</v>
      </c>
      <c r="B416" s="4">
        <v>194</v>
      </c>
      <c r="C416" s="6" t="s">
        <v>44</v>
      </c>
      <c r="D416" s="6" t="s">
        <v>39</v>
      </c>
      <c r="E416" s="6">
        <v>66.5</v>
      </c>
      <c r="F416" s="6">
        <v>44.9</v>
      </c>
    </row>
    <row r="417" spans="1:6" x14ac:dyDescent="0.3">
      <c r="A417" s="4" t="s">
        <v>33</v>
      </c>
      <c r="B417" s="4">
        <v>325</v>
      </c>
      <c r="C417" s="6" t="s">
        <v>44</v>
      </c>
      <c r="D417" s="6" t="s">
        <v>39</v>
      </c>
      <c r="E417" s="6">
        <v>61</v>
      </c>
      <c r="F417" s="6">
        <v>45</v>
      </c>
    </row>
    <row r="418" spans="1:6" x14ac:dyDescent="0.3">
      <c r="A418" s="4" t="s">
        <v>33</v>
      </c>
      <c r="B418" s="4">
        <v>353</v>
      </c>
      <c r="C418" s="6" t="s">
        <v>44</v>
      </c>
      <c r="D418" s="6" t="s">
        <v>39</v>
      </c>
      <c r="E418" s="6">
        <v>63.2</v>
      </c>
      <c r="F418" s="6">
        <v>45</v>
      </c>
    </row>
    <row r="419" spans="1:6" x14ac:dyDescent="0.3">
      <c r="A419" s="4" t="s">
        <v>33</v>
      </c>
      <c r="B419" s="4">
        <v>173</v>
      </c>
      <c r="C419" s="6" t="s">
        <v>44</v>
      </c>
      <c r="D419" s="6" t="s">
        <v>39</v>
      </c>
      <c r="E419" s="6">
        <v>68</v>
      </c>
      <c r="F419" s="6">
        <v>45</v>
      </c>
    </row>
    <row r="420" spans="1:6" x14ac:dyDescent="0.3">
      <c r="A420" s="4" t="s">
        <v>33</v>
      </c>
      <c r="B420" s="4">
        <v>183</v>
      </c>
      <c r="C420" s="6" t="s">
        <v>44</v>
      </c>
      <c r="D420" s="6" t="s">
        <v>39</v>
      </c>
      <c r="E420" s="6">
        <v>69.5</v>
      </c>
      <c r="F420" s="6">
        <v>45</v>
      </c>
    </row>
    <row r="421" spans="1:6" x14ac:dyDescent="0.3">
      <c r="A421" s="4" t="s">
        <v>33</v>
      </c>
      <c r="B421" s="4">
        <v>355</v>
      </c>
      <c r="C421" s="6" t="s">
        <v>44</v>
      </c>
      <c r="D421" s="6" t="s">
        <v>39</v>
      </c>
      <c r="E421" s="6">
        <v>57</v>
      </c>
      <c r="F421" s="6">
        <v>45.1</v>
      </c>
    </row>
    <row r="422" spans="1:6" x14ac:dyDescent="0.3">
      <c r="A422" s="4" t="s">
        <v>33</v>
      </c>
      <c r="B422" s="4">
        <v>991</v>
      </c>
      <c r="C422" s="6" t="s">
        <v>44</v>
      </c>
      <c r="D422" s="6" t="s">
        <v>39</v>
      </c>
      <c r="E422" s="6">
        <v>62</v>
      </c>
      <c r="F422" s="6">
        <v>45.1</v>
      </c>
    </row>
    <row r="423" spans="1:6" x14ac:dyDescent="0.3">
      <c r="A423" s="4" t="s">
        <v>33</v>
      </c>
      <c r="B423" s="4">
        <v>537</v>
      </c>
      <c r="C423" s="6" t="s">
        <v>44</v>
      </c>
      <c r="D423" s="6" t="s">
        <v>39</v>
      </c>
      <c r="E423" s="6">
        <v>65.3</v>
      </c>
      <c r="F423" s="6">
        <v>45.1</v>
      </c>
    </row>
    <row r="424" spans="1:6" x14ac:dyDescent="0.3">
      <c r="A424" s="4" t="s">
        <v>33</v>
      </c>
      <c r="B424" s="4">
        <v>1049</v>
      </c>
      <c r="C424" s="6" t="s">
        <v>44</v>
      </c>
      <c r="D424" s="6" t="s">
        <v>39</v>
      </c>
      <c r="E424" s="6">
        <v>66.599999999999994</v>
      </c>
      <c r="F424" s="6">
        <v>45.1</v>
      </c>
    </row>
    <row r="425" spans="1:6" x14ac:dyDescent="0.3">
      <c r="A425" s="4" t="s">
        <v>33</v>
      </c>
      <c r="B425" s="4">
        <v>377</v>
      </c>
      <c r="C425" s="6" t="s">
        <v>44</v>
      </c>
      <c r="D425" s="6" t="s">
        <v>39</v>
      </c>
      <c r="E425" s="6">
        <v>67.3</v>
      </c>
      <c r="F425" s="6">
        <v>45.1</v>
      </c>
    </row>
    <row r="426" spans="1:6" x14ac:dyDescent="0.3">
      <c r="A426" s="4" t="s">
        <v>33</v>
      </c>
      <c r="B426" s="4">
        <v>593</v>
      </c>
      <c r="C426" s="6" t="s">
        <v>44</v>
      </c>
      <c r="D426" s="6" t="s">
        <v>39</v>
      </c>
      <c r="E426" s="6">
        <v>69.7</v>
      </c>
      <c r="F426" s="6">
        <v>45.2</v>
      </c>
    </row>
    <row r="427" spans="1:6" x14ac:dyDescent="0.3">
      <c r="A427" s="4" t="s">
        <v>33</v>
      </c>
      <c r="B427" s="4">
        <v>338</v>
      </c>
      <c r="C427" s="6" t="s">
        <v>44</v>
      </c>
      <c r="D427" s="6" t="s">
        <v>39</v>
      </c>
      <c r="E427" s="6">
        <v>72.7</v>
      </c>
      <c r="F427" s="6">
        <v>45.2</v>
      </c>
    </row>
    <row r="428" spans="1:6" x14ac:dyDescent="0.3">
      <c r="A428" s="4" t="s">
        <v>33</v>
      </c>
      <c r="B428" s="4">
        <v>1030</v>
      </c>
      <c r="C428" s="6" t="s">
        <v>44</v>
      </c>
      <c r="D428" s="6" t="s">
        <v>39</v>
      </c>
      <c r="E428" s="6">
        <v>59.6</v>
      </c>
      <c r="F428" s="6">
        <v>45.3</v>
      </c>
    </row>
    <row r="429" spans="1:6" x14ac:dyDescent="0.3">
      <c r="A429" s="4" t="s">
        <v>33</v>
      </c>
      <c r="B429" s="4">
        <v>672</v>
      </c>
      <c r="C429" s="6" t="s">
        <v>44</v>
      </c>
      <c r="D429" s="6" t="s">
        <v>39</v>
      </c>
      <c r="E429" s="6">
        <v>64</v>
      </c>
      <c r="F429" s="6">
        <v>45.3</v>
      </c>
    </row>
    <row r="430" spans="1:6" x14ac:dyDescent="0.3">
      <c r="A430" s="4" t="s">
        <v>33</v>
      </c>
      <c r="B430" s="4">
        <v>683</v>
      </c>
      <c r="C430" s="6" t="s">
        <v>44</v>
      </c>
      <c r="D430" s="6" t="s">
        <v>39</v>
      </c>
      <c r="E430" s="6">
        <v>66.2</v>
      </c>
      <c r="F430" s="6">
        <v>45.3</v>
      </c>
    </row>
    <row r="431" spans="1:6" x14ac:dyDescent="0.3">
      <c r="A431" s="4" t="s">
        <v>33</v>
      </c>
      <c r="B431" s="4">
        <v>339</v>
      </c>
      <c r="C431" s="6" t="s">
        <v>44</v>
      </c>
      <c r="D431" s="6" t="s">
        <v>39</v>
      </c>
      <c r="E431" s="6">
        <v>59.5</v>
      </c>
      <c r="F431" s="6">
        <v>45.5</v>
      </c>
    </row>
    <row r="432" spans="1:6" x14ac:dyDescent="0.3">
      <c r="A432" s="4" t="s">
        <v>33</v>
      </c>
      <c r="B432" s="4">
        <v>1034</v>
      </c>
      <c r="C432" s="6" t="s">
        <v>44</v>
      </c>
      <c r="D432" s="6" t="s">
        <v>39</v>
      </c>
      <c r="E432" s="6">
        <v>63.4</v>
      </c>
      <c r="F432" s="6">
        <v>45.5</v>
      </c>
    </row>
    <row r="433" spans="1:6" x14ac:dyDescent="0.3">
      <c r="A433" s="4" t="s">
        <v>33</v>
      </c>
      <c r="B433" s="4">
        <v>167</v>
      </c>
      <c r="C433" s="6" t="s">
        <v>44</v>
      </c>
      <c r="D433" s="6" t="s">
        <v>39</v>
      </c>
      <c r="E433" s="6">
        <v>66</v>
      </c>
      <c r="F433" s="6">
        <v>45.5</v>
      </c>
    </row>
    <row r="434" spans="1:6" x14ac:dyDescent="0.3">
      <c r="A434" s="4" t="s">
        <v>33</v>
      </c>
      <c r="B434" s="4">
        <v>1035</v>
      </c>
      <c r="C434" s="6" t="s">
        <v>44</v>
      </c>
      <c r="D434" s="6" t="s">
        <v>39</v>
      </c>
      <c r="E434" s="6">
        <v>67.3</v>
      </c>
      <c r="F434" s="6">
        <v>45.5</v>
      </c>
    </row>
    <row r="435" spans="1:6" x14ac:dyDescent="0.3">
      <c r="A435" s="4" t="s">
        <v>33</v>
      </c>
      <c r="B435" s="4">
        <v>462</v>
      </c>
      <c r="C435" s="6" t="s">
        <v>44</v>
      </c>
      <c r="D435" s="6" t="s">
        <v>39</v>
      </c>
      <c r="E435" s="6">
        <v>67.900000000000006</v>
      </c>
      <c r="F435" s="6">
        <v>45.5</v>
      </c>
    </row>
    <row r="436" spans="1:6" x14ac:dyDescent="0.3">
      <c r="A436" s="4" t="s">
        <v>33</v>
      </c>
      <c r="B436" s="4">
        <v>204</v>
      </c>
      <c r="C436" s="6" t="s">
        <v>44</v>
      </c>
      <c r="D436" s="6" t="s">
        <v>39</v>
      </c>
      <c r="E436" s="6">
        <v>68</v>
      </c>
      <c r="F436" s="6">
        <v>45.5</v>
      </c>
    </row>
    <row r="437" spans="1:6" x14ac:dyDescent="0.3">
      <c r="A437" s="4" t="s">
        <v>33</v>
      </c>
      <c r="B437" s="4">
        <v>176</v>
      </c>
      <c r="C437" s="6" t="s">
        <v>44</v>
      </c>
      <c r="D437" s="6" t="s">
        <v>39</v>
      </c>
      <c r="E437" s="6">
        <v>68.099999999999994</v>
      </c>
      <c r="F437" s="6">
        <v>45.5</v>
      </c>
    </row>
    <row r="438" spans="1:6" x14ac:dyDescent="0.3">
      <c r="A438" s="4" t="s">
        <v>33</v>
      </c>
      <c r="B438" s="4">
        <v>964</v>
      </c>
      <c r="C438" s="6" t="s">
        <v>44</v>
      </c>
      <c r="D438" s="6" t="s">
        <v>39</v>
      </c>
      <c r="E438" s="6">
        <v>69.099999999999994</v>
      </c>
      <c r="F438" s="6">
        <v>45.5</v>
      </c>
    </row>
    <row r="439" spans="1:6" x14ac:dyDescent="0.3">
      <c r="A439" s="4" t="s">
        <v>33</v>
      </c>
      <c r="B439" s="4">
        <v>987</v>
      </c>
      <c r="C439" s="6" t="s">
        <v>44</v>
      </c>
      <c r="D439" s="6" t="s">
        <v>39</v>
      </c>
      <c r="E439" s="6">
        <v>69.099999999999994</v>
      </c>
      <c r="F439" s="6">
        <v>45.5</v>
      </c>
    </row>
    <row r="440" spans="1:6" x14ac:dyDescent="0.3">
      <c r="A440" s="4" t="s">
        <v>33</v>
      </c>
      <c r="B440" s="4">
        <v>990</v>
      </c>
      <c r="C440" s="6" t="s">
        <v>44</v>
      </c>
      <c r="D440" s="6" t="s">
        <v>39</v>
      </c>
      <c r="E440" s="6">
        <v>60.6</v>
      </c>
      <c r="F440" s="6">
        <v>45.6</v>
      </c>
    </row>
    <row r="441" spans="1:6" x14ac:dyDescent="0.3">
      <c r="A441" s="4" t="s">
        <v>33</v>
      </c>
      <c r="B441" s="4">
        <v>697</v>
      </c>
      <c r="C441" s="6" t="s">
        <v>44</v>
      </c>
      <c r="D441" s="6" t="s">
        <v>39</v>
      </c>
      <c r="E441" s="6">
        <v>63.7</v>
      </c>
      <c r="F441" s="6">
        <v>45.6</v>
      </c>
    </row>
    <row r="442" spans="1:6" x14ac:dyDescent="0.3">
      <c r="A442" s="4" t="s">
        <v>33</v>
      </c>
      <c r="B442" s="4">
        <v>992</v>
      </c>
      <c r="C442" s="6" t="s">
        <v>44</v>
      </c>
      <c r="D442" s="6" t="s">
        <v>39</v>
      </c>
      <c r="E442" s="6">
        <v>64.099999999999994</v>
      </c>
      <c r="F442" s="6">
        <v>45.6</v>
      </c>
    </row>
    <row r="443" spans="1:6" x14ac:dyDescent="0.3">
      <c r="A443" s="4" t="s">
        <v>33</v>
      </c>
      <c r="B443" s="4">
        <v>694</v>
      </c>
      <c r="C443" s="6" t="s">
        <v>44</v>
      </c>
      <c r="D443" s="6" t="s">
        <v>39</v>
      </c>
      <c r="E443" s="6">
        <v>65.7</v>
      </c>
      <c r="F443" s="6">
        <v>45.6</v>
      </c>
    </row>
    <row r="444" spans="1:6" x14ac:dyDescent="0.3">
      <c r="A444" s="4" t="s">
        <v>33</v>
      </c>
      <c r="B444" s="4">
        <v>413</v>
      </c>
      <c r="C444" s="6" t="s">
        <v>44</v>
      </c>
      <c r="D444" s="6" t="s">
        <v>39</v>
      </c>
      <c r="E444" s="6">
        <v>66.5</v>
      </c>
      <c r="F444" s="6">
        <v>45.6</v>
      </c>
    </row>
    <row r="445" spans="1:6" x14ac:dyDescent="0.3">
      <c r="A445" s="4" t="s">
        <v>33</v>
      </c>
      <c r="B445" s="4">
        <v>1074</v>
      </c>
      <c r="C445" s="6" t="s">
        <v>44</v>
      </c>
      <c r="D445" s="6" t="s">
        <v>39</v>
      </c>
      <c r="E445" s="6">
        <v>66.599999999999994</v>
      </c>
      <c r="F445" s="6">
        <v>45.6</v>
      </c>
    </row>
    <row r="446" spans="1:6" x14ac:dyDescent="0.3">
      <c r="A446" s="4" t="s">
        <v>33</v>
      </c>
      <c r="B446" s="4">
        <v>1065</v>
      </c>
      <c r="C446" s="6" t="s">
        <v>44</v>
      </c>
      <c r="D446" s="6" t="s">
        <v>39</v>
      </c>
      <c r="E446" s="6">
        <v>66.7</v>
      </c>
      <c r="F446" s="6">
        <v>45.6</v>
      </c>
    </row>
    <row r="447" spans="1:6" x14ac:dyDescent="0.3">
      <c r="A447" s="4" t="s">
        <v>33</v>
      </c>
      <c r="B447" s="4">
        <v>1118</v>
      </c>
      <c r="C447" s="6" t="s">
        <v>44</v>
      </c>
      <c r="D447" s="6" t="s">
        <v>39</v>
      </c>
      <c r="E447" s="6">
        <v>66.7</v>
      </c>
      <c r="F447" s="6">
        <v>45.6</v>
      </c>
    </row>
    <row r="448" spans="1:6" x14ac:dyDescent="0.3">
      <c r="A448" s="4" t="s">
        <v>33</v>
      </c>
      <c r="B448" s="4">
        <v>1069</v>
      </c>
      <c r="C448" s="6" t="s">
        <v>44</v>
      </c>
      <c r="D448" s="6" t="s">
        <v>39</v>
      </c>
      <c r="E448" s="6">
        <v>67.099999999999994</v>
      </c>
      <c r="F448" s="6">
        <v>45.6</v>
      </c>
    </row>
    <row r="449" spans="1:6" x14ac:dyDescent="0.3">
      <c r="A449" s="4" t="s">
        <v>33</v>
      </c>
      <c r="B449" s="4">
        <v>496</v>
      </c>
      <c r="C449" s="6" t="s">
        <v>44</v>
      </c>
      <c r="D449" s="6" t="s">
        <v>39</v>
      </c>
      <c r="E449" s="6">
        <v>67.8</v>
      </c>
      <c r="F449" s="6">
        <v>45.6</v>
      </c>
    </row>
    <row r="450" spans="1:6" x14ac:dyDescent="0.3">
      <c r="A450" s="4" t="s">
        <v>33</v>
      </c>
      <c r="B450" s="4">
        <v>848</v>
      </c>
      <c r="C450" s="6" t="s">
        <v>44</v>
      </c>
      <c r="D450" s="6" t="s">
        <v>39</v>
      </c>
      <c r="E450" s="6">
        <v>67.400000000000006</v>
      </c>
      <c r="F450" s="6">
        <v>45.7</v>
      </c>
    </row>
    <row r="451" spans="1:6" x14ac:dyDescent="0.3">
      <c r="A451" s="4" t="s">
        <v>33</v>
      </c>
      <c r="B451" s="4">
        <v>224</v>
      </c>
      <c r="C451" s="6" t="s">
        <v>44</v>
      </c>
      <c r="D451" s="6" t="s">
        <v>39</v>
      </c>
      <c r="E451" s="6">
        <v>67.599999999999994</v>
      </c>
      <c r="F451" s="6">
        <v>45.7</v>
      </c>
    </row>
    <row r="452" spans="1:6" x14ac:dyDescent="0.3">
      <c r="A452" s="4" t="s">
        <v>33</v>
      </c>
      <c r="B452" s="4">
        <v>983</v>
      </c>
      <c r="C452" s="6" t="s">
        <v>44</v>
      </c>
      <c r="D452" s="6" t="s">
        <v>39</v>
      </c>
      <c r="E452" s="6">
        <v>68.5</v>
      </c>
      <c r="F452" s="6">
        <v>45.7</v>
      </c>
    </row>
    <row r="453" spans="1:6" x14ac:dyDescent="0.3">
      <c r="A453" s="4" t="s">
        <v>33</v>
      </c>
      <c r="B453" s="4">
        <v>988</v>
      </c>
      <c r="C453" s="6" t="s">
        <v>44</v>
      </c>
      <c r="D453" s="6" t="s">
        <v>39</v>
      </c>
      <c r="E453" s="6">
        <v>69.8</v>
      </c>
      <c r="F453" s="6">
        <v>45.7</v>
      </c>
    </row>
    <row r="454" spans="1:6" x14ac:dyDescent="0.3">
      <c r="A454" s="4" t="s">
        <v>33</v>
      </c>
      <c r="B454" s="4">
        <v>1116</v>
      </c>
      <c r="C454" s="6" t="s">
        <v>44</v>
      </c>
      <c r="D454" s="6" t="s">
        <v>39</v>
      </c>
      <c r="E454" s="6">
        <v>65.2</v>
      </c>
      <c r="F454" s="6">
        <v>45.8</v>
      </c>
    </row>
    <row r="455" spans="1:6" x14ac:dyDescent="0.3">
      <c r="A455" s="4" t="s">
        <v>33</v>
      </c>
      <c r="B455" s="4">
        <v>585</v>
      </c>
      <c r="C455" s="6" t="s">
        <v>44</v>
      </c>
      <c r="D455" s="6" t="s">
        <v>39</v>
      </c>
      <c r="E455" s="6">
        <v>68.900000000000006</v>
      </c>
      <c r="F455" s="6">
        <v>45.8</v>
      </c>
    </row>
    <row r="456" spans="1:6" x14ac:dyDescent="0.3">
      <c r="A456" s="4" t="s">
        <v>33</v>
      </c>
      <c r="B456" s="4">
        <v>310</v>
      </c>
      <c r="C456" s="6" t="s">
        <v>44</v>
      </c>
      <c r="D456" s="6" t="s">
        <v>39</v>
      </c>
      <c r="E456" s="6">
        <v>54.4</v>
      </c>
      <c r="F456" s="6">
        <v>46</v>
      </c>
    </row>
    <row r="457" spans="1:6" x14ac:dyDescent="0.3">
      <c r="A457" s="4" t="s">
        <v>33</v>
      </c>
      <c r="B457" s="4">
        <v>379</v>
      </c>
      <c r="C457" s="6" t="s">
        <v>44</v>
      </c>
      <c r="D457" s="6" t="s">
        <v>39</v>
      </c>
      <c r="E457" s="6">
        <v>62.2</v>
      </c>
      <c r="F457" s="6">
        <v>46</v>
      </c>
    </row>
    <row r="458" spans="1:6" x14ac:dyDescent="0.3">
      <c r="A458" s="4" t="s">
        <v>33</v>
      </c>
      <c r="B458" s="4">
        <v>1077</v>
      </c>
      <c r="C458" s="6" t="s">
        <v>44</v>
      </c>
      <c r="D458" s="6" t="s">
        <v>39</v>
      </c>
      <c r="E458" s="6">
        <v>63.6</v>
      </c>
      <c r="F458" s="6">
        <v>46</v>
      </c>
    </row>
    <row r="459" spans="1:6" x14ac:dyDescent="0.3">
      <c r="A459" s="4" t="s">
        <v>33</v>
      </c>
      <c r="B459" s="4">
        <v>361</v>
      </c>
      <c r="C459" s="6" t="s">
        <v>44</v>
      </c>
      <c r="D459" s="6" t="s">
        <v>39</v>
      </c>
      <c r="E459" s="6">
        <v>66</v>
      </c>
      <c r="F459" s="6">
        <v>46</v>
      </c>
    </row>
    <row r="460" spans="1:6" x14ac:dyDescent="0.3">
      <c r="A460" s="4" t="s">
        <v>33</v>
      </c>
      <c r="B460" s="4">
        <v>1097</v>
      </c>
      <c r="C460" s="6" t="s">
        <v>44</v>
      </c>
      <c r="D460" s="6" t="s">
        <v>39</v>
      </c>
      <c r="E460" s="6">
        <v>67.3</v>
      </c>
      <c r="F460" s="6">
        <v>46</v>
      </c>
    </row>
    <row r="461" spans="1:6" x14ac:dyDescent="0.3">
      <c r="A461" s="4" t="s">
        <v>33</v>
      </c>
      <c r="B461" s="4">
        <v>1236</v>
      </c>
      <c r="C461" s="6" t="s">
        <v>44</v>
      </c>
      <c r="D461" s="6" t="s">
        <v>39</v>
      </c>
      <c r="E461" s="6">
        <v>67.8</v>
      </c>
      <c r="F461" s="6">
        <v>46</v>
      </c>
    </row>
    <row r="462" spans="1:6" x14ac:dyDescent="0.3">
      <c r="A462" s="4" t="s">
        <v>33</v>
      </c>
      <c r="B462" s="4">
        <v>191</v>
      </c>
      <c r="C462" s="6" t="s">
        <v>44</v>
      </c>
      <c r="D462" s="6" t="s">
        <v>39</v>
      </c>
      <c r="E462" s="6">
        <v>68</v>
      </c>
      <c r="F462" s="6">
        <v>46</v>
      </c>
    </row>
    <row r="463" spans="1:6" x14ac:dyDescent="0.3">
      <c r="A463" s="4" t="s">
        <v>33</v>
      </c>
      <c r="B463" s="4">
        <v>380</v>
      </c>
      <c r="C463" s="6" t="s">
        <v>44</v>
      </c>
      <c r="D463" s="6" t="s">
        <v>39</v>
      </c>
      <c r="E463" s="6">
        <v>68</v>
      </c>
      <c r="F463" s="6">
        <v>46</v>
      </c>
    </row>
    <row r="464" spans="1:6" x14ac:dyDescent="0.3">
      <c r="A464" s="4" t="s">
        <v>33</v>
      </c>
      <c r="B464" s="4">
        <v>1096</v>
      </c>
      <c r="C464" s="6" t="s">
        <v>44</v>
      </c>
      <c r="D464" s="6" t="s">
        <v>39</v>
      </c>
      <c r="E464" s="6">
        <v>70.2</v>
      </c>
      <c r="F464" s="6">
        <v>46</v>
      </c>
    </row>
    <row r="465" spans="1:6" x14ac:dyDescent="0.3">
      <c r="A465" s="4" t="s">
        <v>33</v>
      </c>
      <c r="B465" s="4">
        <v>646</v>
      </c>
      <c r="C465" s="6" t="s">
        <v>44</v>
      </c>
      <c r="D465" s="6" t="s">
        <v>39</v>
      </c>
      <c r="E465" s="6">
        <v>65.599999999999994</v>
      </c>
      <c r="F465" s="6">
        <v>46.1</v>
      </c>
    </row>
    <row r="466" spans="1:6" x14ac:dyDescent="0.3">
      <c r="A466" s="4" t="s">
        <v>33</v>
      </c>
      <c r="B466" s="4">
        <v>989</v>
      </c>
      <c r="C466" s="6" t="s">
        <v>44</v>
      </c>
      <c r="D466" s="6" t="s">
        <v>39</v>
      </c>
      <c r="E466" s="6">
        <v>66.8</v>
      </c>
      <c r="F466" s="6">
        <v>46.1</v>
      </c>
    </row>
    <row r="467" spans="1:6" x14ac:dyDescent="0.3">
      <c r="A467" s="4" t="s">
        <v>33</v>
      </c>
      <c r="B467" s="4">
        <v>364</v>
      </c>
      <c r="C467" s="6" t="s">
        <v>44</v>
      </c>
      <c r="D467" s="6" t="s">
        <v>39</v>
      </c>
      <c r="E467" s="6">
        <v>70.3</v>
      </c>
      <c r="F467" s="6">
        <v>46.1</v>
      </c>
    </row>
    <row r="468" spans="1:6" x14ac:dyDescent="0.3">
      <c r="A468" s="4" t="s">
        <v>33</v>
      </c>
      <c r="B468" s="4">
        <v>466</v>
      </c>
      <c r="C468" s="6" t="s">
        <v>44</v>
      </c>
      <c r="D468" s="6" t="s">
        <v>39</v>
      </c>
      <c r="E468" s="6">
        <v>59.8</v>
      </c>
      <c r="F468" s="6">
        <v>46.2</v>
      </c>
    </row>
    <row r="469" spans="1:6" x14ac:dyDescent="0.3">
      <c r="A469" s="4" t="s">
        <v>33</v>
      </c>
      <c r="B469" s="4">
        <v>670</v>
      </c>
      <c r="C469" s="6" t="s">
        <v>44</v>
      </c>
      <c r="D469" s="6" t="s">
        <v>39</v>
      </c>
      <c r="E469" s="6">
        <v>65.2</v>
      </c>
      <c r="F469" s="6">
        <v>46.3</v>
      </c>
    </row>
    <row r="470" spans="1:6" x14ac:dyDescent="0.3">
      <c r="A470" s="4" t="s">
        <v>33</v>
      </c>
      <c r="B470" s="4">
        <v>633</v>
      </c>
      <c r="C470" s="6" t="s">
        <v>44</v>
      </c>
      <c r="D470" s="6" t="s">
        <v>39</v>
      </c>
      <c r="E470" s="6">
        <v>65.400000000000006</v>
      </c>
      <c r="F470" s="6">
        <v>46.3</v>
      </c>
    </row>
    <row r="471" spans="1:6" x14ac:dyDescent="0.3">
      <c r="A471" s="4" t="s">
        <v>33</v>
      </c>
      <c r="B471" s="4">
        <v>985</v>
      </c>
      <c r="C471" s="6" t="s">
        <v>44</v>
      </c>
      <c r="D471" s="6" t="s">
        <v>39</v>
      </c>
      <c r="E471" s="6">
        <v>68.599999999999994</v>
      </c>
      <c r="F471" s="6">
        <v>46.3</v>
      </c>
    </row>
    <row r="472" spans="1:6" x14ac:dyDescent="0.3">
      <c r="A472" s="4" t="s">
        <v>33</v>
      </c>
      <c r="B472" s="4">
        <v>1059</v>
      </c>
      <c r="C472" s="6" t="s">
        <v>44</v>
      </c>
      <c r="D472" s="6" t="s">
        <v>39</v>
      </c>
      <c r="E472" s="6">
        <v>69.5</v>
      </c>
      <c r="F472" s="6">
        <v>46.4</v>
      </c>
    </row>
    <row r="473" spans="1:6" x14ac:dyDescent="0.3">
      <c r="A473" s="4" t="s">
        <v>33</v>
      </c>
      <c r="B473" s="4">
        <v>673</v>
      </c>
      <c r="C473" s="6" t="s">
        <v>44</v>
      </c>
      <c r="D473" s="6" t="s">
        <v>39</v>
      </c>
      <c r="E473" s="6">
        <v>70.599999999999994</v>
      </c>
      <c r="F473" s="6">
        <v>46.4</v>
      </c>
    </row>
    <row r="474" spans="1:6" x14ac:dyDescent="0.3">
      <c r="A474" s="4" t="s">
        <v>33</v>
      </c>
      <c r="B474" s="4">
        <v>352</v>
      </c>
      <c r="C474" s="6" t="s">
        <v>44</v>
      </c>
      <c r="D474" s="6" t="s">
        <v>39</v>
      </c>
      <c r="E474" s="6">
        <v>72.3</v>
      </c>
      <c r="F474" s="6">
        <v>46.4</v>
      </c>
    </row>
    <row r="475" spans="1:6" x14ac:dyDescent="0.3">
      <c r="A475" s="4" t="s">
        <v>33</v>
      </c>
      <c r="B475" s="4">
        <v>1041</v>
      </c>
      <c r="C475" s="6" t="s">
        <v>44</v>
      </c>
      <c r="D475" s="6" t="s">
        <v>39</v>
      </c>
      <c r="E475" s="6">
        <v>72.3</v>
      </c>
      <c r="F475" s="6">
        <v>46.4</v>
      </c>
    </row>
    <row r="476" spans="1:6" x14ac:dyDescent="0.3">
      <c r="A476" s="4" t="s">
        <v>33</v>
      </c>
      <c r="B476" s="4">
        <v>480</v>
      </c>
      <c r="C476" s="6" t="s">
        <v>44</v>
      </c>
      <c r="D476" s="6" t="s">
        <v>39</v>
      </c>
      <c r="E476" s="6">
        <v>60.9</v>
      </c>
      <c r="F476" s="6">
        <v>46.5</v>
      </c>
    </row>
    <row r="477" spans="1:6" x14ac:dyDescent="0.3">
      <c r="A477" s="4" t="s">
        <v>33</v>
      </c>
      <c r="B477" s="4">
        <v>696</v>
      </c>
      <c r="C477" s="6" t="s">
        <v>44</v>
      </c>
      <c r="D477" s="6" t="s">
        <v>39</v>
      </c>
      <c r="E477" s="6">
        <v>61.9</v>
      </c>
      <c r="F477" s="6">
        <v>46.5</v>
      </c>
    </row>
    <row r="478" spans="1:6" x14ac:dyDescent="0.3">
      <c r="A478" s="4" t="s">
        <v>33</v>
      </c>
      <c r="B478" s="4">
        <v>636</v>
      </c>
      <c r="C478" s="6" t="s">
        <v>44</v>
      </c>
      <c r="D478" s="6" t="s">
        <v>39</v>
      </c>
      <c r="E478" s="6">
        <v>62.9</v>
      </c>
      <c r="F478" s="6">
        <v>46.5</v>
      </c>
    </row>
    <row r="479" spans="1:6" x14ac:dyDescent="0.3">
      <c r="A479" s="4" t="s">
        <v>33</v>
      </c>
      <c r="B479" s="4">
        <v>669</v>
      </c>
      <c r="C479" s="6" t="s">
        <v>44</v>
      </c>
      <c r="D479" s="6" t="s">
        <v>39</v>
      </c>
      <c r="E479" s="6">
        <v>67.5</v>
      </c>
      <c r="F479" s="6">
        <v>46.5</v>
      </c>
    </row>
    <row r="480" spans="1:6" x14ac:dyDescent="0.3">
      <c r="A480" s="4" t="s">
        <v>33</v>
      </c>
      <c r="B480" s="4">
        <v>1099</v>
      </c>
      <c r="C480" s="6" t="s">
        <v>44</v>
      </c>
      <c r="D480" s="6" t="s">
        <v>39</v>
      </c>
      <c r="E480" s="6">
        <v>70</v>
      </c>
      <c r="F480" s="6">
        <v>46.5</v>
      </c>
    </row>
    <row r="481" spans="1:6" x14ac:dyDescent="0.3">
      <c r="A481" s="4" t="s">
        <v>33</v>
      </c>
      <c r="B481" s="4">
        <v>622</v>
      </c>
      <c r="C481" s="6" t="s">
        <v>44</v>
      </c>
      <c r="D481" s="6" t="s">
        <v>39</v>
      </c>
      <c r="E481" s="6">
        <v>72</v>
      </c>
      <c r="F481" s="6">
        <v>46.5</v>
      </c>
    </row>
    <row r="482" spans="1:6" x14ac:dyDescent="0.3">
      <c r="A482" s="4" t="s">
        <v>33</v>
      </c>
      <c r="B482" s="4">
        <v>1068</v>
      </c>
      <c r="C482" s="6" t="s">
        <v>44</v>
      </c>
      <c r="D482" s="6" t="s">
        <v>39</v>
      </c>
      <c r="E482" s="6">
        <v>73</v>
      </c>
      <c r="F482" s="6">
        <v>46.5</v>
      </c>
    </row>
    <row r="483" spans="1:6" x14ac:dyDescent="0.3">
      <c r="A483" s="4" t="s">
        <v>33</v>
      </c>
      <c r="B483" s="4">
        <v>1107</v>
      </c>
      <c r="C483" s="6" t="s">
        <v>44</v>
      </c>
      <c r="D483" s="6" t="s">
        <v>39</v>
      </c>
      <c r="E483" s="6">
        <v>64.599999999999994</v>
      </c>
      <c r="F483" s="6">
        <v>46.6</v>
      </c>
    </row>
    <row r="484" spans="1:6" x14ac:dyDescent="0.3">
      <c r="A484" s="4" t="s">
        <v>33</v>
      </c>
      <c r="B484" s="4">
        <v>1113</v>
      </c>
      <c r="C484" s="6" t="s">
        <v>44</v>
      </c>
      <c r="D484" s="6" t="s">
        <v>39</v>
      </c>
      <c r="E484" s="6">
        <v>67.7</v>
      </c>
      <c r="F484" s="6">
        <v>46.6</v>
      </c>
    </row>
    <row r="485" spans="1:6" x14ac:dyDescent="0.3">
      <c r="A485" s="4" t="s">
        <v>33</v>
      </c>
      <c r="B485" s="4">
        <v>1685</v>
      </c>
      <c r="C485" s="6" t="s">
        <v>44</v>
      </c>
      <c r="D485" s="6" t="s">
        <v>39</v>
      </c>
      <c r="E485" s="6">
        <v>71</v>
      </c>
      <c r="F485" s="40">
        <v>46.6</v>
      </c>
    </row>
    <row r="486" spans="1:6" x14ac:dyDescent="0.3">
      <c r="A486" s="4" t="s">
        <v>33</v>
      </c>
      <c r="B486" s="4">
        <v>857</v>
      </c>
      <c r="C486" s="6" t="s">
        <v>44</v>
      </c>
      <c r="D486" s="6" t="s">
        <v>39</v>
      </c>
      <c r="E486" s="6">
        <v>71.8</v>
      </c>
      <c r="F486" s="6">
        <v>46.6</v>
      </c>
    </row>
    <row r="487" spans="1:6" x14ac:dyDescent="0.3">
      <c r="A487" s="4" t="s">
        <v>33</v>
      </c>
      <c r="B487" s="4">
        <v>389</v>
      </c>
      <c r="C487" s="6" t="s">
        <v>44</v>
      </c>
      <c r="D487" s="6" t="s">
        <v>39</v>
      </c>
      <c r="E487" s="6">
        <v>72.400000000000006</v>
      </c>
      <c r="F487" s="6">
        <v>46.6</v>
      </c>
    </row>
    <row r="488" spans="1:6" x14ac:dyDescent="0.3">
      <c r="A488" s="4" t="s">
        <v>33</v>
      </c>
      <c r="B488" s="4">
        <v>996</v>
      </c>
      <c r="C488" s="6" t="s">
        <v>44</v>
      </c>
      <c r="D488" s="6" t="s">
        <v>39</v>
      </c>
      <c r="E488" s="6">
        <v>62.6</v>
      </c>
      <c r="F488" s="6">
        <v>46.7</v>
      </c>
    </row>
    <row r="489" spans="1:6" x14ac:dyDescent="0.3">
      <c r="A489" s="4" t="s">
        <v>33</v>
      </c>
      <c r="B489" s="4">
        <v>515</v>
      </c>
      <c r="C489" s="6" t="s">
        <v>44</v>
      </c>
      <c r="D489" s="6" t="s">
        <v>39</v>
      </c>
      <c r="E489" s="6">
        <v>65.400000000000006</v>
      </c>
      <c r="F489" s="6">
        <v>46.7</v>
      </c>
    </row>
    <row r="490" spans="1:6" x14ac:dyDescent="0.3">
      <c r="A490" s="4" t="s">
        <v>33</v>
      </c>
      <c r="B490" s="4">
        <v>1024</v>
      </c>
      <c r="C490" s="6" t="s">
        <v>44</v>
      </c>
      <c r="D490" s="6" t="s">
        <v>39</v>
      </c>
      <c r="E490" s="6">
        <v>67.099999999999994</v>
      </c>
      <c r="F490" s="6">
        <v>46.7</v>
      </c>
    </row>
    <row r="491" spans="1:6" x14ac:dyDescent="0.3">
      <c r="A491" s="4" t="s">
        <v>33</v>
      </c>
      <c r="B491" s="4">
        <v>503</v>
      </c>
      <c r="C491" s="6" t="s">
        <v>44</v>
      </c>
      <c r="D491" s="6" t="s">
        <v>39</v>
      </c>
      <c r="E491" s="6">
        <v>71.2</v>
      </c>
      <c r="F491" s="6">
        <v>46.8</v>
      </c>
    </row>
    <row r="492" spans="1:6" x14ac:dyDescent="0.3">
      <c r="A492" s="4" t="s">
        <v>33</v>
      </c>
      <c r="B492" s="4">
        <v>318</v>
      </c>
      <c r="C492" s="6" t="s">
        <v>44</v>
      </c>
      <c r="D492" s="6" t="s">
        <v>39</v>
      </c>
      <c r="E492" s="6">
        <v>62</v>
      </c>
      <c r="F492" s="6">
        <v>46.9</v>
      </c>
    </row>
    <row r="493" spans="1:6" x14ac:dyDescent="0.3">
      <c r="A493" s="4" t="s">
        <v>33</v>
      </c>
      <c r="B493" s="4">
        <v>1032</v>
      </c>
      <c r="C493" s="6" t="s">
        <v>44</v>
      </c>
      <c r="D493" s="6" t="s">
        <v>39</v>
      </c>
      <c r="E493" s="6">
        <v>64.099999999999994</v>
      </c>
      <c r="F493" s="6">
        <v>46.9</v>
      </c>
    </row>
    <row r="494" spans="1:6" x14ac:dyDescent="0.3">
      <c r="A494" s="4" t="s">
        <v>33</v>
      </c>
      <c r="B494" s="4">
        <v>1039</v>
      </c>
      <c r="C494" s="6" t="s">
        <v>44</v>
      </c>
      <c r="D494" s="6" t="s">
        <v>39</v>
      </c>
      <c r="E494" s="6">
        <v>63.8</v>
      </c>
      <c r="F494" s="6">
        <v>47</v>
      </c>
    </row>
    <row r="495" spans="1:6" x14ac:dyDescent="0.3">
      <c r="A495" s="4" t="s">
        <v>33</v>
      </c>
      <c r="B495" s="4">
        <v>308</v>
      </c>
      <c r="C495" s="6" t="s">
        <v>44</v>
      </c>
      <c r="D495" s="6" t="s">
        <v>39</v>
      </c>
      <c r="E495" s="6">
        <v>64</v>
      </c>
      <c r="F495" s="6">
        <v>47</v>
      </c>
    </row>
    <row r="496" spans="1:6" x14ac:dyDescent="0.3">
      <c r="A496" s="4" t="s">
        <v>33</v>
      </c>
      <c r="B496" s="4">
        <v>982</v>
      </c>
      <c r="C496" s="6" t="s">
        <v>44</v>
      </c>
      <c r="D496" s="6" t="s">
        <v>39</v>
      </c>
      <c r="E496" s="6">
        <v>67.5</v>
      </c>
      <c r="F496" s="6">
        <v>47</v>
      </c>
    </row>
    <row r="497" spans="1:6" x14ac:dyDescent="0.3">
      <c r="A497" s="4" t="s">
        <v>33</v>
      </c>
      <c r="B497" s="4">
        <v>693</v>
      </c>
      <c r="C497" s="6" t="s">
        <v>44</v>
      </c>
      <c r="D497" s="6" t="s">
        <v>39</v>
      </c>
      <c r="E497" s="6">
        <v>71.3</v>
      </c>
      <c r="F497" s="6">
        <v>47</v>
      </c>
    </row>
    <row r="498" spans="1:6" x14ac:dyDescent="0.3">
      <c r="A498" s="4" t="s">
        <v>33</v>
      </c>
      <c r="B498" s="4">
        <v>317</v>
      </c>
      <c r="C498" s="6" t="s">
        <v>44</v>
      </c>
      <c r="D498" s="6" t="s">
        <v>39</v>
      </c>
      <c r="E498" s="6">
        <v>72</v>
      </c>
      <c r="F498" s="6">
        <v>47</v>
      </c>
    </row>
    <row r="499" spans="1:6" x14ac:dyDescent="0.3">
      <c r="A499" s="4" t="s">
        <v>33</v>
      </c>
      <c r="B499" s="4">
        <v>1031</v>
      </c>
      <c r="C499" s="6" t="s">
        <v>44</v>
      </c>
      <c r="D499" s="6" t="s">
        <v>39</v>
      </c>
      <c r="E499" s="6">
        <v>72.5</v>
      </c>
      <c r="F499" s="6">
        <v>47</v>
      </c>
    </row>
    <row r="500" spans="1:6" x14ac:dyDescent="0.3">
      <c r="A500" s="4" t="s">
        <v>33</v>
      </c>
      <c r="B500" s="4">
        <v>332</v>
      </c>
      <c r="C500" s="6" t="s">
        <v>44</v>
      </c>
      <c r="D500" s="6" t="s">
        <v>39</v>
      </c>
      <c r="E500" s="6">
        <v>74</v>
      </c>
      <c r="F500" s="6">
        <v>47</v>
      </c>
    </row>
    <row r="501" spans="1:6" x14ac:dyDescent="0.3">
      <c r="A501" s="4" t="s">
        <v>33</v>
      </c>
      <c r="B501" s="4">
        <v>467</v>
      </c>
      <c r="C501" s="6" t="s">
        <v>44</v>
      </c>
      <c r="D501" s="6" t="s">
        <v>39</v>
      </c>
      <c r="E501" s="6">
        <v>66.599999999999994</v>
      </c>
      <c r="F501" s="6">
        <v>47.1</v>
      </c>
    </row>
    <row r="502" spans="1:6" x14ac:dyDescent="0.3">
      <c r="A502" s="4" t="s">
        <v>33</v>
      </c>
      <c r="B502" s="4">
        <v>664</v>
      </c>
      <c r="C502" s="6" t="s">
        <v>44</v>
      </c>
      <c r="D502" s="6" t="s">
        <v>39</v>
      </c>
      <c r="E502" s="6">
        <v>67.3</v>
      </c>
      <c r="F502" s="6">
        <v>47.2</v>
      </c>
    </row>
    <row r="503" spans="1:6" x14ac:dyDescent="0.3">
      <c r="A503" s="4" t="s">
        <v>33</v>
      </c>
      <c r="B503" s="4">
        <v>676</v>
      </c>
      <c r="C503" s="6" t="s">
        <v>44</v>
      </c>
      <c r="D503" s="6" t="s">
        <v>39</v>
      </c>
      <c r="E503" s="6">
        <v>70.7</v>
      </c>
      <c r="F503" s="6">
        <v>47.2</v>
      </c>
    </row>
    <row r="504" spans="1:6" x14ac:dyDescent="0.3">
      <c r="A504" s="4" t="s">
        <v>33</v>
      </c>
      <c r="B504" s="4">
        <v>251</v>
      </c>
      <c r="C504" s="6" t="s">
        <v>44</v>
      </c>
      <c r="D504" s="6" t="s">
        <v>39</v>
      </c>
      <c r="E504" s="6">
        <v>71.5</v>
      </c>
      <c r="F504" s="6">
        <v>47.2</v>
      </c>
    </row>
    <row r="505" spans="1:6" x14ac:dyDescent="0.3">
      <c r="A505" s="4" t="s">
        <v>33</v>
      </c>
      <c r="B505" s="4">
        <v>222</v>
      </c>
      <c r="C505" s="6" t="s">
        <v>44</v>
      </c>
      <c r="D505" s="6" t="s">
        <v>39</v>
      </c>
      <c r="E505" s="6">
        <v>76.7</v>
      </c>
      <c r="F505" s="6">
        <v>47.2</v>
      </c>
    </row>
    <row r="506" spans="1:6" x14ac:dyDescent="0.3">
      <c r="A506" s="4" t="s">
        <v>33</v>
      </c>
      <c r="B506" s="4">
        <v>599</v>
      </c>
      <c r="C506" s="6" t="s">
        <v>44</v>
      </c>
      <c r="D506" s="6" t="s">
        <v>39</v>
      </c>
      <c r="E506" s="6">
        <v>67.400000000000006</v>
      </c>
      <c r="F506" s="6">
        <v>47.3</v>
      </c>
    </row>
    <row r="507" spans="1:6" x14ac:dyDescent="0.3">
      <c r="A507" s="4" t="s">
        <v>33</v>
      </c>
      <c r="B507" s="4">
        <v>478</v>
      </c>
      <c r="C507" s="6" t="s">
        <v>44</v>
      </c>
      <c r="D507" s="6" t="s">
        <v>39</v>
      </c>
      <c r="E507" s="6">
        <v>64.2</v>
      </c>
      <c r="F507" s="6">
        <v>47.5</v>
      </c>
    </row>
    <row r="508" spans="1:6" x14ac:dyDescent="0.3">
      <c r="A508" s="4" t="s">
        <v>33</v>
      </c>
      <c r="B508" s="4">
        <v>635</v>
      </c>
      <c r="C508" s="6" t="s">
        <v>44</v>
      </c>
      <c r="D508" s="6" t="s">
        <v>39</v>
      </c>
      <c r="E508" s="6">
        <v>66.5</v>
      </c>
      <c r="F508" s="6">
        <v>47.5</v>
      </c>
    </row>
    <row r="509" spans="1:6" x14ac:dyDescent="0.3">
      <c r="A509" s="4" t="s">
        <v>33</v>
      </c>
      <c r="B509" s="4">
        <v>617</v>
      </c>
      <c r="C509" s="6" t="s">
        <v>44</v>
      </c>
      <c r="D509" s="6" t="s">
        <v>39</v>
      </c>
      <c r="E509" s="6">
        <v>68.8</v>
      </c>
      <c r="F509" s="6">
        <v>47.5</v>
      </c>
    </row>
    <row r="510" spans="1:6" x14ac:dyDescent="0.3">
      <c r="A510" s="4" t="s">
        <v>33</v>
      </c>
      <c r="B510" s="4">
        <v>1053</v>
      </c>
      <c r="C510" s="6" t="s">
        <v>44</v>
      </c>
      <c r="D510" s="6" t="s">
        <v>39</v>
      </c>
      <c r="E510" s="6">
        <v>74.099999999999994</v>
      </c>
      <c r="F510" s="6">
        <v>47.5</v>
      </c>
    </row>
    <row r="511" spans="1:6" x14ac:dyDescent="0.3">
      <c r="A511" s="4" t="s">
        <v>33</v>
      </c>
      <c r="B511" s="4">
        <v>666</v>
      </c>
      <c r="C511" s="6" t="s">
        <v>44</v>
      </c>
      <c r="D511" s="6" t="s">
        <v>39</v>
      </c>
      <c r="E511" s="6">
        <v>67</v>
      </c>
      <c r="F511" s="6">
        <v>47.7</v>
      </c>
    </row>
    <row r="512" spans="1:6" x14ac:dyDescent="0.3">
      <c r="A512" s="4" t="s">
        <v>33</v>
      </c>
      <c r="B512" s="4">
        <v>514</v>
      </c>
      <c r="C512" s="6" t="s">
        <v>44</v>
      </c>
      <c r="D512" s="6" t="s">
        <v>39</v>
      </c>
      <c r="E512" s="6">
        <v>67.5</v>
      </c>
      <c r="F512" s="6">
        <v>47.7</v>
      </c>
    </row>
    <row r="513" spans="1:6" x14ac:dyDescent="0.3">
      <c r="A513" s="4" t="s">
        <v>33</v>
      </c>
      <c r="B513" s="4">
        <v>984</v>
      </c>
      <c r="C513" s="6" t="s">
        <v>44</v>
      </c>
      <c r="D513" s="6" t="s">
        <v>39</v>
      </c>
      <c r="E513" s="6">
        <v>76.5</v>
      </c>
      <c r="F513" s="6">
        <v>47.8</v>
      </c>
    </row>
    <row r="514" spans="1:6" x14ac:dyDescent="0.3">
      <c r="A514" s="4" t="s">
        <v>33</v>
      </c>
      <c r="B514" s="4">
        <v>660</v>
      </c>
      <c r="C514" s="6" t="s">
        <v>44</v>
      </c>
      <c r="D514" s="6" t="s">
        <v>39</v>
      </c>
      <c r="E514" s="6">
        <v>68.099999999999994</v>
      </c>
      <c r="F514" s="6">
        <v>47.9</v>
      </c>
    </row>
    <row r="515" spans="1:6" x14ac:dyDescent="0.3">
      <c r="A515" s="4" t="s">
        <v>33</v>
      </c>
      <c r="B515" s="4">
        <v>357</v>
      </c>
      <c r="C515" s="6" t="s">
        <v>44</v>
      </c>
      <c r="D515" s="6" t="s">
        <v>39</v>
      </c>
      <c r="E515" s="6">
        <v>70.2</v>
      </c>
      <c r="F515" s="6">
        <v>47.9</v>
      </c>
    </row>
    <row r="516" spans="1:6" x14ac:dyDescent="0.3">
      <c r="A516" s="4" t="s">
        <v>33</v>
      </c>
      <c r="B516" s="4">
        <v>490</v>
      </c>
      <c r="C516" s="6" t="s">
        <v>44</v>
      </c>
      <c r="D516" s="6" t="s">
        <v>39</v>
      </c>
      <c r="E516" s="6">
        <v>73.599999999999994</v>
      </c>
      <c r="F516" s="6">
        <v>47.9</v>
      </c>
    </row>
    <row r="517" spans="1:6" x14ac:dyDescent="0.3">
      <c r="A517" s="4" t="s">
        <v>33</v>
      </c>
      <c r="B517" s="4">
        <v>649</v>
      </c>
      <c r="C517" s="6" t="s">
        <v>44</v>
      </c>
      <c r="D517" s="6" t="s">
        <v>39</v>
      </c>
      <c r="E517" s="6">
        <v>69</v>
      </c>
      <c r="F517" s="6">
        <v>48</v>
      </c>
    </row>
    <row r="518" spans="1:6" x14ac:dyDescent="0.3">
      <c r="A518" s="4" t="s">
        <v>33</v>
      </c>
      <c r="B518" s="4">
        <v>236</v>
      </c>
      <c r="C518" s="6" t="s">
        <v>44</v>
      </c>
      <c r="D518" s="6" t="s">
        <v>39</v>
      </c>
      <c r="E518" s="6">
        <v>72</v>
      </c>
      <c r="F518" s="6">
        <v>48</v>
      </c>
    </row>
    <row r="519" spans="1:6" x14ac:dyDescent="0.3">
      <c r="A519" s="4" t="s">
        <v>33</v>
      </c>
      <c r="B519" s="4">
        <v>695</v>
      </c>
      <c r="C519" s="6" t="s">
        <v>44</v>
      </c>
      <c r="D519" s="6" t="s">
        <v>39</v>
      </c>
      <c r="E519" s="6">
        <v>72.3</v>
      </c>
      <c r="F519" s="6">
        <v>48</v>
      </c>
    </row>
    <row r="520" spans="1:6" x14ac:dyDescent="0.3">
      <c r="A520" s="4" t="s">
        <v>33</v>
      </c>
      <c r="B520" s="4">
        <v>479</v>
      </c>
      <c r="C520" s="6" t="s">
        <v>44</v>
      </c>
      <c r="D520" s="6" t="s">
        <v>39</v>
      </c>
      <c r="E520" s="6">
        <v>71.8</v>
      </c>
      <c r="F520" s="6">
        <v>48.1</v>
      </c>
    </row>
    <row r="521" spans="1:6" x14ac:dyDescent="0.3">
      <c r="A521" s="4" t="s">
        <v>33</v>
      </c>
      <c r="B521" s="4">
        <v>689</v>
      </c>
      <c r="C521" s="6" t="s">
        <v>44</v>
      </c>
      <c r="D521" s="6" t="s">
        <v>39</v>
      </c>
      <c r="E521" s="6">
        <v>72.7</v>
      </c>
      <c r="F521" s="6">
        <v>48.1</v>
      </c>
    </row>
    <row r="522" spans="1:6" x14ac:dyDescent="0.3">
      <c r="A522" s="4" t="s">
        <v>33</v>
      </c>
      <c r="B522" s="4">
        <v>692</v>
      </c>
      <c r="C522" s="6" t="s">
        <v>44</v>
      </c>
      <c r="D522" s="6" t="s">
        <v>39</v>
      </c>
      <c r="E522" s="6">
        <v>73.5</v>
      </c>
      <c r="F522" s="6">
        <v>48.1</v>
      </c>
    </row>
    <row r="523" spans="1:6" x14ac:dyDescent="0.3">
      <c r="A523" s="4" t="s">
        <v>33</v>
      </c>
      <c r="B523" s="4">
        <v>487</v>
      </c>
      <c r="C523" s="6" t="s">
        <v>44</v>
      </c>
      <c r="D523" s="6" t="s">
        <v>39</v>
      </c>
      <c r="E523" s="6">
        <v>63.7</v>
      </c>
      <c r="F523" s="6">
        <v>48.2</v>
      </c>
    </row>
    <row r="524" spans="1:6" x14ac:dyDescent="0.3">
      <c r="A524" s="4" t="s">
        <v>33</v>
      </c>
      <c r="B524" s="4">
        <v>1084</v>
      </c>
      <c r="C524" s="6" t="s">
        <v>44</v>
      </c>
      <c r="D524" s="6" t="s">
        <v>39</v>
      </c>
      <c r="E524" s="6">
        <v>67.8</v>
      </c>
      <c r="F524" s="6">
        <v>48.3</v>
      </c>
    </row>
    <row r="525" spans="1:6" x14ac:dyDescent="0.3">
      <c r="A525" s="4" t="s">
        <v>33</v>
      </c>
      <c r="B525" s="4">
        <v>675</v>
      </c>
      <c r="C525" s="6" t="s">
        <v>44</v>
      </c>
      <c r="D525" s="6" t="s">
        <v>39</v>
      </c>
      <c r="E525" s="6">
        <v>70.7</v>
      </c>
      <c r="F525" s="6">
        <v>48.3</v>
      </c>
    </row>
    <row r="526" spans="1:6" x14ac:dyDescent="0.3">
      <c r="A526" s="4" t="s">
        <v>33</v>
      </c>
      <c r="B526" s="4">
        <v>1015</v>
      </c>
      <c r="C526" s="6" t="s">
        <v>44</v>
      </c>
      <c r="D526" s="6" t="s">
        <v>39</v>
      </c>
      <c r="E526" s="6">
        <v>71.2</v>
      </c>
      <c r="F526" s="6">
        <v>48.3</v>
      </c>
    </row>
    <row r="527" spans="1:6" x14ac:dyDescent="0.3">
      <c r="A527" s="4" t="s">
        <v>33</v>
      </c>
      <c r="B527" s="4">
        <v>1115</v>
      </c>
      <c r="C527" s="6" t="s">
        <v>44</v>
      </c>
      <c r="D527" s="6" t="s">
        <v>39</v>
      </c>
      <c r="E527" s="6">
        <v>73.099999999999994</v>
      </c>
      <c r="F527" s="6">
        <v>48.3</v>
      </c>
    </row>
    <row r="528" spans="1:6" x14ac:dyDescent="0.3">
      <c r="A528" s="4" t="s">
        <v>33</v>
      </c>
      <c r="B528" s="4">
        <v>417</v>
      </c>
      <c r="C528" s="6" t="s">
        <v>44</v>
      </c>
      <c r="D528" s="6" t="s">
        <v>39</v>
      </c>
      <c r="E528" s="6">
        <v>76.599999999999994</v>
      </c>
      <c r="F528" s="6">
        <v>48.4</v>
      </c>
    </row>
    <row r="529" spans="1:6" x14ac:dyDescent="0.3">
      <c r="A529" s="4" t="s">
        <v>33</v>
      </c>
      <c r="B529" s="4">
        <v>1017</v>
      </c>
      <c r="C529" s="6" t="s">
        <v>44</v>
      </c>
      <c r="D529" s="6" t="s">
        <v>39</v>
      </c>
      <c r="E529" s="6">
        <v>63.2</v>
      </c>
      <c r="F529" s="6">
        <v>48.5</v>
      </c>
    </row>
    <row r="530" spans="1:6" x14ac:dyDescent="0.3">
      <c r="A530" s="4" t="s">
        <v>33</v>
      </c>
      <c r="B530" s="4">
        <v>847</v>
      </c>
      <c r="C530" s="6" t="s">
        <v>44</v>
      </c>
      <c r="D530" s="6" t="s">
        <v>39</v>
      </c>
      <c r="E530" s="6">
        <v>73.3</v>
      </c>
      <c r="F530" s="6">
        <v>48.5</v>
      </c>
    </row>
    <row r="531" spans="1:6" x14ac:dyDescent="0.3">
      <c r="A531" s="4" t="s">
        <v>33</v>
      </c>
      <c r="B531" s="4">
        <v>1066</v>
      </c>
      <c r="C531" s="6" t="s">
        <v>44</v>
      </c>
      <c r="D531" s="6" t="s">
        <v>39</v>
      </c>
      <c r="E531" s="6">
        <v>74.5</v>
      </c>
      <c r="F531" s="6">
        <v>48.5</v>
      </c>
    </row>
    <row r="532" spans="1:6" x14ac:dyDescent="0.3">
      <c r="A532" s="4" t="s">
        <v>33</v>
      </c>
      <c r="B532" s="4">
        <v>1123</v>
      </c>
      <c r="C532" s="6" t="s">
        <v>44</v>
      </c>
      <c r="D532" s="6" t="s">
        <v>39</v>
      </c>
      <c r="E532" s="6">
        <v>63.4</v>
      </c>
      <c r="F532" s="6">
        <v>48.6</v>
      </c>
    </row>
    <row r="533" spans="1:6" x14ac:dyDescent="0.3">
      <c r="A533" s="4" t="s">
        <v>33</v>
      </c>
      <c r="B533" s="4">
        <v>502</v>
      </c>
      <c r="C533" s="6" t="s">
        <v>44</v>
      </c>
      <c r="D533" s="6" t="s">
        <v>39</v>
      </c>
      <c r="E533" s="6">
        <v>74.400000000000006</v>
      </c>
      <c r="F533" s="6">
        <v>48.7</v>
      </c>
    </row>
    <row r="534" spans="1:6" x14ac:dyDescent="0.3">
      <c r="A534" s="4" t="s">
        <v>33</v>
      </c>
      <c r="B534" s="4">
        <v>690</v>
      </c>
      <c r="C534" s="6" t="s">
        <v>44</v>
      </c>
      <c r="D534" s="6" t="s">
        <v>39</v>
      </c>
      <c r="E534" s="6">
        <v>67.5</v>
      </c>
      <c r="F534" s="6">
        <v>48.9</v>
      </c>
    </row>
    <row r="535" spans="1:6" x14ac:dyDescent="0.3">
      <c r="A535" s="4" t="s">
        <v>33</v>
      </c>
      <c r="B535" s="4">
        <v>631</v>
      </c>
      <c r="C535" s="6" t="s">
        <v>44</v>
      </c>
      <c r="D535" s="6" t="s">
        <v>39</v>
      </c>
      <c r="E535" s="6">
        <v>72.2</v>
      </c>
      <c r="F535" s="6">
        <v>48.9</v>
      </c>
    </row>
    <row r="536" spans="1:6" x14ac:dyDescent="0.3">
      <c r="A536" s="4" t="s">
        <v>33</v>
      </c>
      <c r="B536" s="4">
        <v>665</v>
      </c>
      <c r="C536" s="6" t="s">
        <v>44</v>
      </c>
      <c r="D536" s="6" t="s">
        <v>39</v>
      </c>
      <c r="E536" s="6">
        <v>68.8</v>
      </c>
      <c r="F536" s="6">
        <v>49</v>
      </c>
    </row>
    <row r="537" spans="1:6" x14ac:dyDescent="0.3">
      <c r="A537" s="4" t="s">
        <v>33</v>
      </c>
      <c r="B537" s="4">
        <v>1090</v>
      </c>
      <c r="C537" s="6" t="s">
        <v>44</v>
      </c>
      <c r="D537" s="6" t="s">
        <v>39</v>
      </c>
      <c r="E537" s="6">
        <v>74</v>
      </c>
      <c r="F537" s="6">
        <v>49.1</v>
      </c>
    </row>
    <row r="538" spans="1:6" x14ac:dyDescent="0.3">
      <c r="A538" s="4" t="s">
        <v>33</v>
      </c>
      <c r="B538" s="4">
        <v>663</v>
      </c>
      <c r="C538" s="6" t="s">
        <v>44</v>
      </c>
      <c r="D538" s="6" t="s">
        <v>39</v>
      </c>
      <c r="E538" s="6">
        <v>68.2</v>
      </c>
      <c r="F538" s="6">
        <v>49.2</v>
      </c>
    </row>
    <row r="539" spans="1:6" x14ac:dyDescent="0.3">
      <c r="A539" s="4" t="s">
        <v>33</v>
      </c>
      <c r="B539" s="4">
        <v>902</v>
      </c>
      <c r="C539" s="6" t="s">
        <v>44</v>
      </c>
      <c r="D539" s="6" t="s">
        <v>39</v>
      </c>
      <c r="E539" s="6">
        <v>76.3</v>
      </c>
      <c r="F539" s="6">
        <v>49.2</v>
      </c>
    </row>
    <row r="540" spans="1:6" x14ac:dyDescent="0.3">
      <c r="A540" s="4" t="s">
        <v>33</v>
      </c>
      <c r="B540" s="4">
        <v>849</v>
      </c>
      <c r="C540" s="6" t="s">
        <v>44</v>
      </c>
      <c r="D540" s="6" t="s">
        <v>39</v>
      </c>
      <c r="E540" s="6">
        <v>74.599999999999994</v>
      </c>
      <c r="F540" s="6">
        <v>49.3</v>
      </c>
    </row>
    <row r="541" spans="1:6" x14ac:dyDescent="0.3">
      <c r="A541" s="4" t="s">
        <v>33</v>
      </c>
      <c r="B541" s="4">
        <v>598</v>
      </c>
      <c r="C541" s="6" t="s">
        <v>44</v>
      </c>
      <c r="D541" s="6" t="s">
        <v>39</v>
      </c>
      <c r="E541" s="6">
        <v>70.5</v>
      </c>
      <c r="F541" s="6">
        <v>49.4</v>
      </c>
    </row>
    <row r="542" spans="1:6" x14ac:dyDescent="0.3">
      <c r="A542" s="4" t="s">
        <v>33</v>
      </c>
      <c r="B542" s="4">
        <v>583</v>
      </c>
      <c r="C542" s="6" t="s">
        <v>44</v>
      </c>
      <c r="D542" s="6" t="s">
        <v>39</v>
      </c>
      <c r="E542" s="6">
        <v>73.599999999999994</v>
      </c>
      <c r="F542" s="6">
        <v>49.4</v>
      </c>
    </row>
    <row r="543" spans="1:6" x14ac:dyDescent="0.3">
      <c r="A543" s="4" t="s">
        <v>33</v>
      </c>
      <c r="B543" s="4">
        <v>853</v>
      </c>
      <c r="C543" s="6" t="s">
        <v>44</v>
      </c>
      <c r="D543" s="6" t="s">
        <v>39</v>
      </c>
      <c r="E543" s="6">
        <v>69.400000000000006</v>
      </c>
      <c r="F543" s="6">
        <v>49.5</v>
      </c>
    </row>
    <row r="544" spans="1:6" x14ac:dyDescent="0.3">
      <c r="A544" s="4" t="s">
        <v>33</v>
      </c>
      <c r="B544" s="4">
        <v>581</v>
      </c>
      <c r="C544" s="6" t="s">
        <v>44</v>
      </c>
      <c r="D544" s="6" t="s">
        <v>39</v>
      </c>
      <c r="E544" s="6">
        <v>73.400000000000006</v>
      </c>
      <c r="F544" s="6">
        <v>49.5</v>
      </c>
    </row>
    <row r="545" spans="1:6" x14ac:dyDescent="0.3">
      <c r="A545" s="4" t="s">
        <v>33</v>
      </c>
      <c r="B545" s="4">
        <v>546</v>
      </c>
      <c r="C545" s="6" t="s">
        <v>44</v>
      </c>
      <c r="D545" s="6" t="s">
        <v>39</v>
      </c>
      <c r="E545" s="6">
        <v>60.1</v>
      </c>
      <c r="F545" s="6">
        <v>49.6</v>
      </c>
    </row>
    <row r="546" spans="1:6" x14ac:dyDescent="0.3">
      <c r="A546" s="4" t="s">
        <v>33</v>
      </c>
      <c r="B546" s="4">
        <v>997</v>
      </c>
      <c r="C546" s="6" t="s">
        <v>44</v>
      </c>
      <c r="D546" s="6" t="s">
        <v>39</v>
      </c>
      <c r="E546" s="6">
        <v>72.099999999999994</v>
      </c>
      <c r="F546" s="6">
        <v>49.7</v>
      </c>
    </row>
    <row r="547" spans="1:6" x14ac:dyDescent="0.3">
      <c r="A547" s="4" t="s">
        <v>33</v>
      </c>
      <c r="B547" s="4">
        <v>645</v>
      </c>
      <c r="C547" s="6" t="s">
        <v>44</v>
      </c>
      <c r="D547" s="6" t="s">
        <v>39</v>
      </c>
      <c r="E547" s="6">
        <v>59.7</v>
      </c>
      <c r="F547" s="6">
        <v>49.8</v>
      </c>
    </row>
    <row r="548" spans="1:6" x14ac:dyDescent="0.3">
      <c r="A548" s="4" t="s">
        <v>33</v>
      </c>
      <c r="B548" s="4">
        <v>1038</v>
      </c>
      <c r="C548" s="6" t="s">
        <v>44</v>
      </c>
      <c r="D548" s="6" t="s">
        <v>39</v>
      </c>
      <c r="E548" s="6">
        <v>72</v>
      </c>
      <c r="F548" s="6">
        <v>49.9</v>
      </c>
    </row>
    <row r="549" spans="1:6" x14ac:dyDescent="0.3">
      <c r="A549" s="4" t="s">
        <v>33</v>
      </c>
      <c r="B549" s="4">
        <v>1114</v>
      </c>
      <c r="C549" s="6" t="s">
        <v>44</v>
      </c>
      <c r="D549" s="6" t="s">
        <v>39</v>
      </c>
      <c r="E549" s="6">
        <v>70.2</v>
      </c>
      <c r="F549" s="6">
        <v>50.1</v>
      </c>
    </row>
    <row r="550" spans="1:6" x14ac:dyDescent="0.3">
      <c r="A550" s="4" t="s">
        <v>33</v>
      </c>
      <c r="B550" s="4">
        <v>623</v>
      </c>
      <c r="C550" s="6" t="s">
        <v>44</v>
      </c>
      <c r="D550" s="6" t="s">
        <v>39</v>
      </c>
      <c r="E550" s="6">
        <v>70.7</v>
      </c>
      <c r="F550" s="6">
        <v>50.1</v>
      </c>
    </row>
    <row r="551" spans="1:6" x14ac:dyDescent="0.3">
      <c r="A551" s="4" t="s">
        <v>33</v>
      </c>
      <c r="B551" s="4">
        <v>589</v>
      </c>
      <c r="C551" s="6" t="s">
        <v>44</v>
      </c>
      <c r="D551" s="6" t="s">
        <v>39</v>
      </c>
      <c r="E551" s="6">
        <v>72.900000000000006</v>
      </c>
      <c r="F551" s="6">
        <v>50.1</v>
      </c>
    </row>
    <row r="552" spans="1:6" x14ac:dyDescent="0.3">
      <c r="A552" s="4" t="s">
        <v>33</v>
      </c>
      <c r="B552" s="4">
        <v>1023</v>
      </c>
      <c r="C552" s="6" t="s">
        <v>44</v>
      </c>
      <c r="D552" s="6" t="s">
        <v>39</v>
      </c>
      <c r="E552" s="6">
        <v>61.5</v>
      </c>
      <c r="F552" s="6">
        <v>50.2</v>
      </c>
    </row>
    <row r="553" spans="1:6" x14ac:dyDescent="0.3">
      <c r="A553" s="4" t="s">
        <v>33</v>
      </c>
      <c r="B553" s="4">
        <v>1110</v>
      </c>
      <c r="C553" s="6" t="s">
        <v>44</v>
      </c>
      <c r="D553" s="6" t="s">
        <v>39</v>
      </c>
      <c r="E553" s="6">
        <v>72.7</v>
      </c>
      <c r="F553" s="6">
        <v>50.2</v>
      </c>
    </row>
    <row r="554" spans="1:6" x14ac:dyDescent="0.3">
      <c r="A554" s="4" t="s">
        <v>33</v>
      </c>
      <c r="B554" s="4">
        <v>1104</v>
      </c>
      <c r="C554" s="6" t="s">
        <v>44</v>
      </c>
      <c r="D554" s="6" t="s">
        <v>39</v>
      </c>
      <c r="E554" s="6">
        <v>73.3</v>
      </c>
      <c r="F554" s="6">
        <v>50.2</v>
      </c>
    </row>
    <row r="555" spans="1:6" x14ac:dyDescent="0.3">
      <c r="A555" s="4" t="s">
        <v>33</v>
      </c>
      <c r="B555" s="4">
        <v>629</v>
      </c>
      <c r="C555" s="6" t="s">
        <v>44</v>
      </c>
      <c r="D555" s="6" t="s">
        <v>39</v>
      </c>
      <c r="E555" s="6">
        <v>73.900000000000006</v>
      </c>
      <c r="F555" s="6">
        <v>50.2</v>
      </c>
    </row>
    <row r="556" spans="1:6" x14ac:dyDescent="0.3">
      <c r="A556" s="4" t="s">
        <v>33</v>
      </c>
      <c r="B556" s="4">
        <v>643</v>
      </c>
      <c r="C556" s="6" t="s">
        <v>44</v>
      </c>
      <c r="D556" s="6" t="s">
        <v>39</v>
      </c>
      <c r="E556" s="6">
        <v>74.900000000000006</v>
      </c>
      <c r="F556" s="6">
        <v>50.4</v>
      </c>
    </row>
    <row r="557" spans="1:6" x14ac:dyDescent="0.3">
      <c r="A557" s="4" t="s">
        <v>33</v>
      </c>
      <c r="B557" s="4">
        <v>1047</v>
      </c>
      <c r="C557" s="6" t="s">
        <v>44</v>
      </c>
      <c r="D557" s="6" t="s">
        <v>39</v>
      </c>
      <c r="E557" s="6">
        <v>77</v>
      </c>
      <c r="F557" s="6">
        <v>50.4</v>
      </c>
    </row>
    <row r="558" spans="1:6" x14ac:dyDescent="0.3">
      <c r="A558" s="4" t="s">
        <v>33</v>
      </c>
      <c r="B558" s="4">
        <v>545</v>
      </c>
      <c r="C558" s="6" t="s">
        <v>44</v>
      </c>
      <c r="D558" s="6" t="s">
        <v>39</v>
      </c>
      <c r="E558" s="6">
        <v>68.8</v>
      </c>
      <c r="F558" s="6">
        <v>50.5</v>
      </c>
    </row>
    <row r="559" spans="1:6" x14ac:dyDescent="0.3">
      <c r="A559" s="4" t="s">
        <v>33</v>
      </c>
      <c r="B559" s="4">
        <v>1037</v>
      </c>
      <c r="C559" s="6" t="s">
        <v>44</v>
      </c>
      <c r="D559" s="6" t="s">
        <v>39</v>
      </c>
      <c r="E559" s="6">
        <v>71.3</v>
      </c>
      <c r="F559" s="6">
        <v>50.5</v>
      </c>
    </row>
    <row r="560" spans="1:6" x14ac:dyDescent="0.3">
      <c r="A560" s="4" t="s">
        <v>33</v>
      </c>
      <c r="B560" s="4">
        <v>846</v>
      </c>
      <c r="C560" s="6" t="s">
        <v>44</v>
      </c>
      <c r="D560" s="6" t="s">
        <v>39</v>
      </c>
      <c r="E560" s="6">
        <v>74.8</v>
      </c>
      <c r="F560" s="6">
        <v>50.5</v>
      </c>
    </row>
    <row r="561" spans="1:6" x14ac:dyDescent="0.3">
      <c r="A561" s="4" t="s">
        <v>33</v>
      </c>
      <c r="B561" s="4">
        <v>632</v>
      </c>
      <c r="C561" s="6" t="s">
        <v>44</v>
      </c>
      <c r="D561" s="6" t="s">
        <v>39</v>
      </c>
      <c r="E561" s="6">
        <v>71</v>
      </c>
      <c r="F561" s="6">
        <v>50.7</v>
      </c>
    </row>
    <row r="562" spans="1:6" x14ac:dyDescent="0.3">
      <c r="A562" s="4" t="s">
        <v>33</v>
      </c>
      <c r="B562" s="4">
        <v>192</v>
      </c>
      <c r="C562" s="6" t="s">
        <v>44</v>
      </c>
      <c r="D562" s="6" t="s">
        <v>39</v>
      </c>
      <c r="E562" s="6">
        <v>77.3</v>
      </c>
      <c r="F562" s="6">
        <v>51</v>
      </c>
    </row>
    <row r="563" spans="1:6" x14ac:dyDescent="0.3">
      <c r="A563" s="4" t="s">
        <v>33</v>
      </c>
      <c r="B563" s="4">
        <v>491</v>
      </c>
      <c r="C563" s="6" t="s">
        <v>44</v>
      </c>
      <c r="D563" s="6" t="s">
        <v>39</v>
      </c>
      <c r="E563" s="6">
        <v>71.900000000000006</v>
      </c>
      <c r="F563" s="6">
        <v>51.2</v>
      </c>
    </row>
    <row r="564" spans="1:6" x14ac:dyDescent="0.3">
      <c r="A564" s="4" t="s">
        <v>33</v>
      </c>
      <c r="B564" s="4">
        <v>843</v>
      </c>
      <c r="C564" s="6" t="s">
        <v>44</v>
      </c>
      <c r="D564" s="6" t="s">
        <v>39</v>
      </c>
      <c r="E564" s="6">
        <v>76.099999999999994</v>
      </c>
      <c r="F564" s="6">
        <v>51.3</v>
      </c>
    </row>
    <row r="565" spans="1:6" x14ac:dyDescent="0.3">
      <c r="A565" s="4" t="s">
        <v>33</v>
      </c>
      <c r="B565" s="4">
        <v>388</v>
      </c>
      <c r="C565" s="6" t="s">
        <v>44</v>
      </c>
      <c r="D565" s="6" t="s">
        <v>39</v>
      </c>
      <c r="E565" s="6">
        <v>76.8</v>
      </c>
      <c r="F565" s="6">
        <v>51.3</v>
      </c>
    </row>
    <row r="566" spans="1:6" x14ac:dyDescent="0.3">
      <c r="A566" s="4" t="s">
        <v>33</v>
      </c>
      <c r="B566" s="4">
        <v>644</v>
      </c>
      <c r="C566" s="6" t="s">
        <v>44</v>
      </c>
      <c r="D566" s="6" t="s">
        <v>39</v>
      </c>
      <c r="E566" s="6">
        <v>76</v>
      </c>
      <c r="F566" s="6">
        <v>51.5</v>
      </c>
    </row>
    <row r="567" spans="1:6" x14ac:dyDescent="0.3">
      <c r="A567" s="4" t="s">
        <v>33</v>
      </c>
      <c r="B567" s="4">
        <v>594</v>
      </c>
      <c r="C567" s="6" t="s">
        <v>44</v>
      </c>
      <c r="D567" s="6" t="s">
        <v>39</v>
      </c>
      <c r="E567" s="6">
        <v>78.599999999999994</v>
      </c>
      <c r="F567" s="6">
        <v>51.7</v>
      </c>
    </row>
    <row r="568" spans="1:6" x14ac:dyDescent="0.3">
      <c r="A568" s="4" t="s">
        <v>33</v>
      </c>
      <c r="B568" s="4">
        <v>615</v>
      </c>
      <c r="C568" s="6" t="s">
        <v>44</v>
      </c>
      <c r="D568" s="6" t="s">
        <v>39</v>
      </c>
      <c r="E568" s="6">
        <v>80.3</v>
      </c>
      <c r="F568" s="6">
        <v>51.7</v>
      </c>
    </row>
    <row r="569" spans="1:6" x14ac:dyDescent="0.3">
      <c r="A569" s="4" t="s">
        <v>33</v>
      </c>
      <c r="B569" s="4">
        <v>475</v>
      </c>
      <c r="C569" s="6" t="s">
        <v>44</v>
      </c>
      <c r="D569" s="6" t="s">
        <v>39</v>
      </c>
      <c r="E569" s="6">
        <v>68</v>
      </c>
      <c r="F569" s="6">
        <v>52.1</v>
      </c>
    </row>
    <row r="570" spans="1:6" x14ac:dyDescent="0.3">
      <c r="A570" s="4" t="s">
        <v>33</v>
      </c>
      <c r="B570" s="4">
        <v>620</v>
      </c>
      <c r="C570" s="6" t="s">
        <v>44</v>
      </c>
      <c r="D570" s="6" t="s">
        <v>39</v>
      </c>
      <c r="E570" s="6">
        <v>77.400000000000006</v>
      </c>
      <c r="F570" s="6">
        <v>52.3</v>
      </c>
    </row>
    <row r="571" spans="1:6" x14ac:dyDescent="0.3">
      <c r="A571" s="4" t="s">
        <v>33</v>
      </c>
      <c r="B571" s="4">
        <v>586</v>
      </c>
      <c r="C571" s="6" t="s">
        <v>44</v>
      </c>
      <c r="D571" s="6" t="s">
        <v>39</v>
      </c>
      <c r="E571" s="6">
        <v>78.2</v>
      </c>
      <c r="F571" s="6">
        <v>52.4</v>
      </c>
    </row>
    <row r="572" spans="1:6" x14ac:dyDescent="0.3">
      <c r="A572" s="4" t="s">
        <v>33</v>
      </c>
      <c r="B572" s="4">
        <v>521</v>
      </c>
      <c r="C572" s="6" t="s">
        <v>44</v>
      </c>
      <c r="D572" s="6" t="s">
        <v>39</v>
      </c>
      <c r="E572" s="6">
        <v>80.5</v>
      </c>
      <c r="F572" s="6">
        <v>54.2</v>
      </c>
    </row>
    <row r="573" spans="1:6" x14ac:dyDescent="0.3">
      <c r="A573" s="4" t="s">
        <v>33</v>
      </c>
      <c r="B573" s="4">
        <v>1109</v>
      </c>
      <c r="C573" s="6" t="s">
        <v>44</v>
      </c>
      <c r="D573" s="6" t="s">
        <v>39</v>
      </c>
      <c r="E573" s="6">
        <v>72.400000000000006</v>
      </c>
      <c r="F573" s="6">
        <v>54.8</v>
      </c>
    </row>
    <row r="574" spans="1:6" x14ac:dyDescent="0.3">
      <c r="A574" s="4" t="s">
        <v>33</v>
      </c>
      <c r="B574" s="4">
        <v>223</v>
      </c>
      <c r="C574" s="6" t="s">
        <v>44</v>
      </c>
      <c r="D574" s="6" t="s">
        <v>39</v>
      </c>
      <c r="E574" s="6">
        <v>81.5</v>
      </c>
      <c r="F574" s="6">
        <v>55</v>
      </c>
    </row>
    <row r="575" spans="1:6" x14ac:dyDescent="0.3">
      <c r="A575" s="4" t="s">
        <v>33</v>
      </c>
      <c r="B575" s="4">
        <v>1111</v>
      </c>
      <c r="C575" s="6" t="s">
        <v>44</v>
      </c>
      <c r="D575" s="6" t="s">
        <v>39</v>
      </c>
      <c r="E575" s="6">
        <v>78.2</v>
      </c>
      <c r="F575" s="6">
        <v>56.7</v>
      </c>
    </row>
    <row r="576" spans="1:6" x14ac:dyDescent="0.3">
      <c r="A576" s="4" t="s">
        <v>33</v>
      </c>
      <c r="B576" s="4">
        <v>1108</v>
      </c>
      <c r="C576" s="6" t="s">
        <v>44</v>
      </c>
      <c r="D576" s="6" t="s">
        <v>39</v>
      </c>
      <c r="E576" s="6">
        <v>69.8</v>
      </c>
      <c r="F576" s="6"/>
    </row>
    <row r="577" spans="1:6" x14ac:dyDescent="0.3">
      <c r="A577" s="4" t="s">
        <v>33</v>
      </c>
      <c r="B577" s="4">
        <v>657</v>
      </c>
      <c r="C577" s="6" t="s">
        <v>44</v>
      </c>
      <c r="D577" s="6" t="s">
        <v>39</v>
      </c>
      <c r="E577" s="6">
        <v>72</v>
      </c>
      <c r="F577" s="6"/>
    </row>
    <row r="578" spans="1:6" x14ac:dyDescent="0.3">
      <c r="A578" s="4" t="s">
        <v>33</v>
      </c>
      <c r="B578" s="4">
        <v>1237</v>
      </c>
      <c r="C578" s="6" t="s">
        <v>44</v>
      </c>
      <c r="D578" s="6" t="s">
        <v>39</v>
      </c>
      <c r="E578" s="6">
        <v>73.8</v>
      </c>
    </row>
  </sheetData>
  <sortState xmlns:xlrd2="http://schemas.microsoft.com/office/spreadsheetml/2017/richdata2" ref="A203:F578">
    <sortCondition ref="D203:D578"/>
    <sortCondition ref="F203:F578"/>
  </sortState>
  <mergeCells count="4">
    <mergeCell ref="I2:J2"/>
    <mergeCell ref="M2:N2"/>
    <mergeCell ref="Q2:R2"/>
    <mergeCell ref="Q12:R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0D04-3680-472E-97B5-D312AC757576}">
  <dimension ref="A1:M580"/>
  <sheetViews>
    <sheetView topLeftCell="B34" zoomScale="60" zoomScaleNormal="60" workbookViewId="0">
      <selection activeCell="L51" sqref="L51"/>
    </sheetView>
  </sheetViews>
  <sheetFormatPr baseColWidth="10" defaultRowHeight="13" x14ac:dyDescent="0.3"/>
  <cols>
    <col min="5" max="5" width="21.296875" customWidth="1"/>
    <col min="7" max="7" width="16.69921875" customWidth="1"/>
    <col min="9" max="9" width="23" customWidth="1"/>
    <col min="10" max="10" width="26.296875" customWidth="1"/>
    <col min="11" max="11" width="28" customWidth="1"/>
    <col min="12" max="12" width="23.3984375" customWidth="1"/>
    <col min="13" max="13" width="13.5" bestFit="1" customWidth="1"/>
  </cols>
  <sheetData>
    <row r="1" spans="1:13" x14ac:dyDescent="0.3">
      <c r="B1" s="60" t="s">
        <v>597</v>
      </c>
      <c r="C1" s="61"/>
      <c r="D1" s="61"/>
      <c r="E1" s="61"/>
      <c r="F1" s="61"/>
    </row>
    <row r="2" spans="1:13" x14ac:dyDescent="0.3">
      <c r="B2" s="61"/>
      <c r="C2" s="61"/>
      <c r="D2" s="61"/>
      <c r="E2" s="61"/>
      <c r="F2" s="61"/>
    </row>
    <row r="4" spans="1:13" x14ac:dyDescent="0.3">
      <c r="A4" t="s">
        <v>33</v>
      </c>
      <c r="B4" t="s">
        <v>598</v>
      </c>
      <c r="C4" t="s">
        <v>599</v>
      </c>
      <c r="E4" s="59" t="s">
        <v>601</v>
      </c>
      <c r="F4" s="59"/>
      <c r="G4" s="59"/>
    </row>
    <row r="5" spans="1:13" x14ac:dyDescent="0.3">
      <c r="A5" s="20">
        <v>611</v>
      </c>
      <c r="B5" s="21" t="s">
        <v>35</v>
      </c>
      <c r="C5" s="21">
        <v>13.2</v>
      </c>
      <c r="E5" t="s">
        <v>602</v>
      </c>
      <c r="F5">
        <f>COUNT(C5:C580)</f>
        <v>576</v>
      </c>
      <c r="H5" s="14" t="s">
        <v>616</v>
      </c>
      <c r="I5">
        <f>MIN(C5:C596)</f>
        <v>13.2</v>
      </c>
      <c r="J5" s="14" t="s">
        <v>646</v>
      </c>
      <c r="K5" s="16">
        <f>AVERAGE(C5:C204)</f>
        <v>69.306550000000001</v>
      </c>
      <c r="L5" s="14" t="s">
        <v>648</v>
      </c>
      <c r="M5" s="16">
        <f>_xlfn.STDEV.S(C5:C204)</f>
        <v>16.902129971853487</v>
      </c>
    </row>
    <row r="6" spans="1:13" x14ac:dyDescent="0.3">
      <c r="A6" s="20">
        <v>748</v>
      </c>
      <c r="B6" s="21" t="s">
        <v>35</v>
      </c>
      <c r="C6" s="21">
        <v>15</v>
      </c>
      <c r="E6" t="s">
        <v>603</v>
      </c>
      <c r="F6">
        <f>376</f>
        <v>376</v>
      </c>
      <c r="H6" s="14" t="s">
        <v>617</v>
      </c>
      <c r="I6">
        <f>MAX(C5:C596)</f>
        <v>108.3</v>
      </c>
      <c r="J6" s="14" t="s">
        <v>647</v>
      </c>
      <c r="K6" s="16">
        <f>AVERAGE(C211:C580)</f>
        <v>63.467837837837834</v>
      </c>
      <c r="L6" s="14" t="s">
        <v>650</v>
      </c>
      <c r="M6" s="16">
        <f>_xlfn.STDEV.S(C211:C580)</f>
        <v>8.5228256046923043</v>
      </c>
    </row>
    <row r="7" spans="1:13" x14ac:dyDescent="0.3">
      <c r="A7" s="20">
        <v>1258</v>
      </c>
      <c r="B7" s="21" t="s">
        <v>35</v>
      </c>
      <c r="C7" s="21">
        <v>15.1</v>
      </c>
      <c r="E7" t="s">
        <v>604</v>
      </c>
      <c r="F7">
        <v>200</v>
      </c>
    </row>
    <row r="8" spans="1:13" x14ac:dyDescent="0.3">
      <c r="A8" s="20">
        <v>638</v>
      </c>
      <c r="B8" s="21" t="s">
        <v>35</v>
      </c>
      <c r="C8" s="21">
        <v>15.8</v>
      </c>
      <c r="E8" t="s">
        <v>605</v>
      </c>
      <c r="F8" s="16">
        <f>1+3.322*LOG(F5)</f>
        <v>10.17012348993191</v>
      </c>
      <c r="G8" t="s">
        <v>611</v>
      </c>
      <c r="H8" s="62" t="s">
        <v>615</v>
      </c>
      <c r="I8" s="63"/>
      <c r="J8" s="63"/>
      <c r="K8" s="63"/>
    </row>
    <row r="9" spans="1:13" x14ac:dyDescent="0.3">
      <c r="A9" s="20">
        <v>639</v>
      </c>
      <c r="B9" s="21" t="s">
        <v>35</v>
      </c>
      <c r="C9" s="21">
        <v>15.9</v>
      </c>
      <c r="E9" s="25" t="s">
        <v>613</v>
      </c>
      <c r="F9" s="26">
        <v>11</v>
      </c>
      <c r="H9" s="63"/>
      <c r="I9" s="63"/>
      <c r="J9" s="63"/>
      <c r="K9" s="63"/>
    </row>
    <row r="10" spans="1:13" x14ac:dyDescent="0.3">
      <c r="A10" s="4">
        <v>16</v>
      </c>
      <c r="B10" s="6" t="s">
        <v>35</v>
      </c>
      <c r="C10" s="6">
        <v>33.1</v>
      </c>
      <c r="E10" t="s">
        <v>585</v>
      </c>
      <c r="F10" s="16">
        <f>I6-I5</f>
        <v>95.1</v>
      </c>
      <c r="H10" s="63"/>
      <c r="I10" s="63"/>
      <c r="J10" s="63"/>
      <c r="K10" s="63"/>
    </row>
    <row r="11" spans="1:13" x14ac:dyDescent="0.3">
      <c r="A11" s="4">
        <v>543</v>
      </c>
      <c r="B11" s="6" t="s">
        <v>35</v>
      </c>
      <c r="C11" s="6">
        <v>34.6</v>
      </c>
      <c r="E11" t="s">
        <v>607</v>
      </c>
      <c r="F11" s="16">
        <f>F10/F9</f>
        <v>8.6454545454545446</v>
      </c>
    </row>
    <row r="12" spans="1:13" x14ac:dyDescent="0.3">
      <c r="A12" s="4">
        <v>523</v>
      </c>
      <c r="B12" s="6" t="s">
        <v>35</v>
      </c>
      <c r="C12" s="6">
        <v>36.1</v>
      </c>
      <c r="E12" t="s">
        <v>606</v>
      </c>
      <c r="F12" s="16">
        <f>SQRT(F5)</f>
        <v>24</v>
      </c>
      <c r="G12" t="s">
        <v>612</v>
      </c>
    </row>
    <row r="13" spans="1:13" x14ac:dyDescent="0.3">
      <c r="A13" s="4">
        <v>5</v>
      </c>
      <c r="B13" s="6" t="s">
        <v>35</v>
      </c>
      <c r="C13" s="6">
        <v>38.4</v>
      </c>
      <c r="E13" s="25" t="s">
        <v>614</v>
      </c>
      <c r="F13" s="26">
        <v>25</v>
      </c>
    </row>
    <row r="14" spans="1:13" x14ac:dyDescent="0.3">
      <c r="A14" s="4">
        <v>329</v>
      </c>
      <c r="B14" s="6" t="s">
        <v>35</v>
      </c>
      <c r="C14" s="6">
        <v>41.5</v>
      </c>
      <c r="E14" t="s">
        <v>608</v>
      </c>
      <c r="F14" s="16">
        <f>F10/F13</f>
        <v>3.8039999999999998</v>
      </c>
    </row>
    <row r="15" spans="1:13" x14ac:dyDescent="0.3">
      <c r="A15" s="4">
        <v>526</v>
      </c>
      <c r="B15" s="6" t="s">
        <v>35</v>
      </c>
      <c r="C15" s="6">
        <v>41.5</v>
      </c>
      <c r="E15" t="s">
        <v>609</v>
      </c>
      <c r="F15" s="17">
        <f>AVERAGE(C5:C580)</f>
        <v>65.080225694444451</v>
      </c>
    </row>
    <row r="16" spans="1:13" x14ac:dyDescent="0.3">
      <c r="A16" s="4">
        <v>532</v>
      </c>
      <c r="B16" s="6" t="s">
        <v>35</v>
      </c>
      <c r="C16" s="6">
        <v>41.9</v>
      </c>
      <c r="E16" t="s">
        <v>610</v>
      </c>
      <c r="F16" s="16">
        <f>STDEV(C5:C580)</f>
        <v>13.12080822475183</v>
      </c>
    </row>
    <row r="17" spans="1:12" x14ac:dyDescent="0.3">
      <c r="A17" s="4">
        <v>1007</v>
      </c>
      <c r="B17" s="6" t="s">
        <v>35</v>
      </c>
      <c r="C17" s="6">
        <v>42.3</v>
      </c>
    </row>
    <row r="18" spans="1:12" x14ac:dyDescent="0.3">
      <c r="A18" s="4">
        <v>500</v>
      </c>
      <c r="B18" s="6" t="s">
        <v>35</v>
      </c>
      <c r="C18" s="6">
        <v>42.4</v>
      </c>
      <c r="E18" s="14" t="s">
        <v>618</v>
      </c>
      <c r="F18" s="14" t="s">
        <v>587</v>
      </c>
      <c r="G18" s="14" t="s">
        <v>588</v>
      </c>
      <c r="H18" s="14" t="s">
        <v>619</v>
      </c>
      <c r="I18" s="14" t="s">
        <v>620</v>
      </c>
      <c r="J18" s="14" t="s">
        <v>621</v>
      </c>
      <c r="K18" s="14" t="s">
        <v>622</v>
      </c>
      <c r="L18" s="14" t="s">
        <v>623</v>
      </c>
    </row>
    <row r="19" spans="1:12" x14ac:dyDescent="0.3">
      <c r="A19" s="4">
        <v>524</v>
      </c>
      <c r="B19" s="6" t="s">
        <v>35</v>
      </c>
      <c r="C19" s="6">
        <v>43</v>
      </c>
      <c r="E19">
        <v>1</v>
      </c>
      <c r="F19" s="46">
        <f>I5</f>
        <v>13.2</v>
      </c>
      <c r="G19" s="46">
        <f>F19+$F$14</f>
        <v>17.003999999999998</v>
      </c>
      <c r="H19" s="14" cm="1">
        <f t="array" ref="H19:H44">FREQUENCY(C5:C580,G19:G43)</f>
        <v>8</v>
      </c>
      <c r="I19" s="24">
        <f>H19/$H$45</f>
        <v>1.3888888888888888E-2</v>
      </c>
      <c r="J19" s="24">
        <f>I19</f>
        <v>1.3888888888888888E-2</v>
      </c>
      <c r="K19">
        <f>NORMDIST(G19,$F$15,$F$16,TRUE)</f>
        <v>1.2409484180727815E-4</v>
      </c>
      <c r="L19">
        <f>ABS(J19-K19)</f>
        <v>1.376479404708161E-2</v>
      </c>
    </row>
    <row r="20" spans="1:12" x14ac:dyDescent="0.3">
      <c r="A20" s="4">
        <v>512</v>
      </c>
      <c r="B20" s="6" t="s">
        <v>35</v>
      </c>
      <c r="C20" s="6">
        <v>43.3</v>
      </c>
      <c r="E20">
        <f>E19+1</f>
        <v>2</v>
      </c>
      <c r="F20" s="46">
        <f>G19</f>
        <v>17.003999999999998</v>
      </c>
      <c r="G20" s="46">
        <f>F20+$F$14</f>
        <v>20.807999999999996</v>
      </c>
      <c r="H20">
        <v>0</v>
      </c>
      <c r="I20" s="24">
        <f t="shared" ref="I20:I43" si="0">H20/$H$45</f>
        <v>0</v>
      </c>
      <c r="J20" s="24">
        <f>J19+I20</f>
        <v>1.3888888888888888E-2</v>
      </c>
      <c r="K20">
        <f t="shared" ref="K20:K43" si="1">NORMDIST(G20,$F$15,$F$16,TRUE)</f>
        <v>3.7015335421032244E-4</v>
      </c>
      <c r="L20">
        <f t="shared" ref="L20:L43" si="2">ABS(J20-K20)</f>
        <v>1.3518735534678566E-2</v>
      </c>
    </row>
    <row r="21" spans="1:12" x14ac:dyDescent="0.3">
      <c r="A21" s="4">
        <v>163</v>
      </c>
      <c r="B21" s="6" t="s">
        <v>35</v>
      </c>
      <c r="C21" s="6">
        <v>44</v>
      </c>
      <c r="E21">
        <f t="shared" ref="E21:E42" si="3">E20+1</f>
        <v>3</v>
      </c>
      <c r="F21" s="46">
        <f t="shared" ref="F21:F43" si="4">G20</f>
        <v>20.807999999999996</v>
      </c>
      <c r="G21" s="46">
        <f t="shared" ref="G21:G43" si="5">F21+$F$14</f>
        <v>24.611999999999995</v>
      </c>
      <c r="H21">
        <v>1</v>
      </c>
      <c r="I21" s="24">
        <f t="shared" si="0"/>
        <v>1.736111111111111E-3</v>
      </c>
      <c r="J21" s="24">
        <f t="shared" ref="J21:J43" si="6">J20+I21</f>
        <v>1.5625E-2</v>
      </c>
      <c r="K21">
        <f t="shared" si="1"/>
        <v>1.0202327021585967E-3</v>
      </c>
      <c r="L21">
        <f t="shared" si="2"/>
        <v>1.4604767297841404E-2</v>
      </c>
    </row>
    <row r="22" spans="1:12" x14ac:dyDescent="0.3">
      <c r="A22" s="4">
        <v>162</v>
      </c>
      <c r="B22" s="6" t="s">
        <v>35</v>
      </c>
      <c r="C22" s="6">
        <v>44.3</v>
      </c>
      <c r="E22">
        <f t="shared" si="3"/>
        <v>4</v>
      </c>
      <c r="F22" s="46">
        <f t="shared" si="4"/>
        <v>24.611999999999995</v>
      </c>
      <c r="G22" s="46">
        <f t="shared" si="5"/>
        <v>28.415999999999993</v>
      </c>
      <c r="H22">
        <v>0</v>
      </c>
      <c r="I22" s="24">
        <f t="shared" si="0"/>
        <v>0</v>
      </c>
      <c r="J22" s="24">
        <f t="shared" si="6"/>
        <v>1.5625E-2</v>
      </c>
      <c r="K22">
        <f t="shared" si="1"/>
        <v>2.6001496519601234E-3</v>
      </c>
      <c r="L22">
        <f t="shared" si="2"/>
        <v>1.3024850348039876E-2</v>
      </c>
    </row>
    <row r="23" spans="1:12" x14ac:dyDescent="0.3">
      <c r="A23" s="4">
        <v>533</v>
      </c>
      <c r="B23" s="6" t="s">
        <v>35</v>
      </c>
      <c r="C23" s="6">
        <v>44.6</v>
      </c>
      <c r="E23">
        <f t="shared" si="3"/>
        <v>5</v>
      </c>
      <c r="F23" s="46">
        <f t="shared" si="4"/>
        <v>28.415999999999993</v>
      </c>
      <c r="G23" s="46">
        <f t="shared" si="5"/>
        <v>32.219999999999992</v>
      </c>
      <c r="H23">
        <v>0</v>
      </c>
      <c r="I23" s="24">
        <f t="shared" si="0"/>
        <v>0</v>
      </c>
      <c r="J23" s="24">
        <f t="shared" si="6"/>
        <v>1.5625E-2</v>
      </c>
      <c r="K23">
        <f t="shared" si="1"/>
        <v>6.1323379812923779E-3</v>
      </c>
      <c r="L23">
        <f t="shared" si="2"/>
        <v>9.4926620187076212E-3</v>
      </c>
    </row>
    <row r="24" spans="1:12" x14ac:dyDescent="0.3">
      <c r="A24" s="4">
        <v>1088</v>
      </c>
      <c r="B24" s="6" t="s">
        <v>35</v>
      </c>
      <c r="C24" s="6">
        <v>45</v>
      </c>
      <c r="E24">
        <f t="shared" si="3"/>
        <v>6</v>
      </c>
      <c r="F24" s="46">
        <f t="shared" si="4"/>
        <v>32.219999999999992</v>
      </c>
      <c r="G24" s="46">
        <f t="shared" si="5"/>
        <v>36.023999999999994</v>
      </c>
      <c r="H24">
        <v>3</v>
      </c>
      <c r="I24" s="24">
        <f t="shared" si="0"/>
        <v>5.208333333333333E-3</v>
      </c>
      <c r="J24" s="24">
        <f t="shared" si="6"/>
        <v>2.0833333333333332E-2</v>
      </c>
      <c r="K24">
        <f t="shared" si="1"/>
        <v>1.3396688442827442E-2</v>
      </c>
      <c r="L24">
        <f t="shared" si="2"/>
        <v>7.4366448905058904E-3</v>
      </c>
    </row>
    <row r="25" spans="1:12" x14ac:dyDescent="0.3">
      <c r="A25" s="4">
        <v>489</v>
      </c>
      <c r="B25" s="6" t="s">
        <v>35</v>
      </c>
      <c r="C25" s="6">
        <v>46</v>
      </c>
      <c r="E25">
        <f t="shared" si="3"/>
        <v>7</v>
      </c>
      <c r="F25" s="46">
        <f t="shared" si="4"/>
        <v>36.023999999999994</v>
      </c>
      <c r="G25" s="46">
        <f t="shared" si="5"/>
        <v>39.827999999999996</v>
      </c>
      <c r="H25">
        <v>4</v>
      </c>
      <c r="I25" s="24">
        <f t="shared" si="0"/>
        <v>6.9444444444444441E-3</v>
      </c>
      <c r="J25" s="24">
        <f t="shared" si="6"/>
        <v>2.7777777777777776E-2</v>
      </c>
      <c r="K25">
        <f t="shared" si="1"/>
        <v>2.714010005617272E-2</v>
      </c>
      <c r="L25">
        <f t="shared" si="2"/>
        <v>6.3767772160505665E-4</v>
      </c>
    </row>
    <row r="26" spans="1:12" x14ac:dyDescent="0.3">
      <c r="A26" s="4">
        <v>552</v>
      </c>
      <c r="B26" s="6" t="s">
        <v>35</v>
      </c>
      <c r="C26" s="6">
        <v>46</v>
      </c>
      <c r="E26">
        <f t="shared" si="3"/>
        <v>8</v>
      </c>
      <c r="F26" s="46">
        <f t="shared" si="4"/>
        <v>39.827999999999996</v>
      </c>
      <c r="G26" s="46">
        <f t="shared" si="5"/>
        <v>43.631999999999998</v>
      </c>
      <c r="H26">
        <v>14</v>
      </c>
      <c r="I26" s="24">
        <f t="shared" si="0"/>
        <v>2.4305555555555556E-2</v>
      </c>
      <c r="J26" s="24">
        <f t="shared" si="6"/>
        <v>5.2083333333333329E-2</v>
      </c>
      <c r="K26">
        <f t="shared" si="1"/>
        <v>5.1058849683776504E-2</v>
      </c>
      <c r="L26">
        <f t="shared" si="2"/>
        <v>1.0244836495568246E-3</v>
      </c>
    </row>
    <row r="27" spans="1:12" x14ac:dyDescent="0.3">
      <c r="A27" s="4">
        <v>471</v>
      </c>
      <c r="B27" s="6" t="s">
        <v>35</v>
      </c>
      <c r="C27" s="6">
        <v>46.6</v>
      </c>
      <c r="E27">
        <f t="shared" si="3"/>
        <v>9</v>
      </c>
      <c r="F27" s="46">
        <f t="shared" si="4"/>
        <v>43.631999999999998</v>
      </c>
      <c r="G27" s="46">
        <f t="shared" si="5"/>
        <v>47.436</v>
      </c>
      <c r="H27">
        <v>25</v>
      </c>
      <c r="I27" s="24">
        <f t="shared" si="0"/>
        <v>4.3402777777777776E-2</v>
      </c>
      <c r="J27" s="24">
        <f t="shared" si="6"/>
        <v>9.5486111111111105E-2</v>
      </c>
      <c r="K27">
        <f t="shared" si="1"/>
        <v>8.9352759105313026E-2</v>
      </c>
      <c r="L27">
        <f t="shared" si="2"/>
        <v>6.1333520057980789E-3</v>
      </c>
    </row>
    <row r="28" spans="1:12" x14ac:dyDescent="0.3">
      <c r="A28" s="4">
        <v>470</v>
      </c>
      <c r="B28" s="6" t="s">
        <v>35</v>
      </c>
      <c r="C28" s="6">
        <v>47.3</v>
      </c>
      <c r="E28">
        <f t="shared" si="3"/>
        <v>10</v>
      </c>
      <c r="F28" s="46">
        <f t="shared" si="4"/>
        <v>47.436</v>
      </c>
      <c r="G28" s="46">
        <f t="shared" si="5"/>
        <v>51.24</v>
      </c>
      <c r="H28">
        <v>28</v>
      </c>
      <c r="I28" s="24">
        <f t="shared" si="0"/>
        <v>4.8611111111111112E-2</v>
      </c>
      <c r="J28" s="24">
        <f t="shared" si="6"/>
        <v>0.14409722222222221</v>
      </c>
      <c r="K28">
        <f t="shared" si="1"/>
        <v>0.14575147874009831</v>
      </c>
      <c r="L28">
        <f t="shared" si="2"/>
        <v>1.654256517876096E-3</v>
      </c>
    </row>
    <row r="29" spans="1:12" x14ac:dyDescent="0.3">
      <c r="A29" s="4">
        <v>477</v>
      </c>
      <c r="B29" s="6" t="s">
        <v>35</v>
      </c>
      <c r="C29" s="6">
        <v>47.3</v>
      </c>
      <c r="E29">
        <f t="shared" si="3"/>
        <v>11</v>
      </c>
      <c r="F29" s="46">
        <f t="shared" si="4"/>
        <v>51.24</v>
      </c>
      <c r="G29" s="46">
        <f t="shared" si="5"/>
        <v>55.044000000000004</v>
      </c>
      <c r="H29">
        <v>27</v>
      </c>
      <c r="I29" s="24">
        <f t="shared" si="0"/>
        <v>4.6875E-2</v>
      </c>
      <c r="J29" s="24">
        <f t="shared" si="6"/>
        <v>0.19097222222222221</v>
      </c>
      <c r="K29">
        <f t="shared" si="1"/>
        <v>0.22216283547036125</v>
      </c>
      <c r="L29">
        <f t="shared" si="2"/>
        <v>3.1190613248139043E-2</v>
      </c>
    </row>
    <row r="30" spans="1:12" x14ac:dyDescent="0.3">
      <c r="A30" s="4">
        <v>501</v>
      </c>
      <c r="B30" s="6" t="s">
        <v>35</v>
      </c>
      <c r="C30" s="6">
        <v>48.6</v>
      </c>
      <c r="E30">
        <f t="shared" si="3"/>
        <v>12</v>
      </c>
      <c r="F30" s="46">
        <f t="shared" si="4"/>
        <v>55.044000000000004</v>
      </c>
      <c r="G30" s="46">
        <f t="shared" si="5"/>
        <v>58.848000000000006</v>
      </c>
      <c r="H30">
        <v>24</v>
      </c>
      <c r="I30" s="24">
        <f t="shared" si="0"/>
        <v>4.1666666666666664E-2</v>
      </c>
      <c r="J30" s="24">
        <f t="shared" si="6"/>
        <v>0.23263888888888887</v>
      </c>
      <c r="K30">
        <f t="shared" si="1"/>
        <v>0.31739778395591312</v>
      </c>
      <c r="L30">
        <f t="shared" si="2"/>
        <v>8.4758895067024248E-2</v>
      </c>
    </row>
    <row r="31" spans="1:12" x14ac:dyDescent="0.3">
      <c r="A31" s="4">
        <v>508</v>
      </c>
      <c r="B31" s="6" t="s">
        <v>35</v>
      </c>
      <c r="C31" s="6">
        <v>48.9</v>
      </c>
      <c r="E31">
        <f t="shared" si="3"/>
        <v>13</v>
      </c>
      <c r="F31" s="46">
        <f t="shared" si="4"/>
        <v>58.848000000000006</v>
      </c>
      <c r="G31" s="46">
        <f t="shared" si="5"/>
        <v>62.652000000000008</v>
      </c>
      <c r="H31">
        <v>71</v>
      </c>
      <c r="I31" s="24">
        <f t="shared" si="0"/>
        <v>0.1232638888888889</v>
      </c>
      <c r="J31" s="24">
        <f t="shared" si="6"/>
        <v>0.35590277777777779</v>
      </c>
      <c r="K31">
        <f t="shared" si="1"/>
        <v>0.42658832964204629</v>
      </c>
      <c r="L31">
        <f t="shared" si="2"/>
        <v>7.0685551864268503E-2</v>
      </c>
    </row>
    <row r="32" spans="1:12" x14ac:dyDescent="0.3">
      <c r="A32" s="4">
        <v>254</v>
      </c>
      <c r="B32" s="6" t="s">
        <v>35</v>
      </c>
      <c r="C32" s="6">
        <v>49.1</v>
      </c>
      <c r="E32">
        <f t="shared" si="3"/>
        <v>14</v>
      </c>
      <c r="F32" s="46">
        <f t="shared" si="4"/>
        <v>62.652000000000008</v>
      </c>
      <c r="G32" s="46">
        <f t="shared" si="5"/>
        <v>66.456000000000003</v>
      </c>
      <c r="H32">
        <v>81</v>
      </c>
      <c r="I32" s="24">
        <f t="shared" si="0"/>
        <v>0.140625</v>
      </c>
      <c r="J32" s="24">
        <f t="shared" si="6"/>
        <v>0.49652777777777779</v>
      </c>
      <c r="K32">
        <f t="shared" si="1"/>
        <v>0.54175432342928287</v>
      </c>
      <c r="L32">
        <f t="shared" si="2"/>
        <v>4.5226545651505079E-2</v>
      </c>
    </row>
    <row r="33" spans="1:13" x14ac:dyDescent="0.3">
      <c r="A33" s="4">
        <v>505</v>
      </c>
      <c r="B33" s="6" t="s">
        <v>35</v>
      </c>
      <c r="C33" s="6">
        <v>49.1</v>
      </c>
      <c r="E33">
        <f t="shared" si="3"/>
        <v>15</v>
      </c>
      <c r="F33" s="46">
        <f t="shared" si="4"/>
        <v>66.456000000000003</v>
      </c>
      <c r="G33" s="46">
        <f t="shared" si="5"/>
        <v>70.260000000000005</v>
      </c>
      <c r="H33">
        <v>104</v>
      </c>
      <c r="I33" s="24">
        <f t="shared" si="0"/>
        <v>0.18055555555555555</v>
      </c>
      <c r="J33" s="24">
        <f t="shared" si="6"/>
        <v>0.67708333333333337</v>
      </c>
      <c r="K33">
        <f t="shared" si="1"/>
        <v>0.65349573028722951</v>
      </c>
      <c r="L33">
        <f t="shared" si="2"/>
        <v>2.3587603046103855E-2</v>
      </c>
    </row>
    <row r="34" spans="1:13" x14ac:dyDescent="0.3">
      <c r="A34" s="4">
        <v>177</v>
      </c>
      <c r="B34" s="6" t="s">
        <v>35</v>
      </c>
      <c r="C34" s="6">
        <v>50</v>
      </c>
      <c r="E34">
        <f t="shared" si="3"/>
        <v>16</v>
      </c>
      <c r="F34" s="46">
        <f t="shared" si="4"/>
        <v>70.260000000000005</v>
      </c>
      <c r="G34" s="46">
        <f t="shared" si="5"/>
        <v>74.064000000000007</v>
      </c>
      <c r="H34">
        <v>77</v>
      </c>
      <c r="I34" s="24">
        <f t="shared" si="0"/>
        <v>0.13368055555555555</v>
      </c>
      <c r="J34" s="24">
        <f t="shared" si="6"/>
        <v>0.81076388888888895</v>
      </c>
      <c r="K34">
        <f t="shared" si="1"/>
        <v>0.75323233918008858</v>
      </c>
      <c r="L34">
        <f t="shared" si="2"/>
        <v>5.7531549708800367E-2</v>
      </c>
    </row>
    <row r="35" spans="1:13" x14ac:dyDescent="0.3">
      <c r="A35" s="4">
        <v>582</v>
      </c>
      <c r="B35" s="6" t="s">
        <v>35</v>
      </c>
      <c r="C35" s="6">
        <v>50.3</v>
      </c>
      <c r="E35">
        <f t="shared" si="3"/>
        <v>17</v>
      </c>
      <c r="F35" s="46">
        <f t="shared" si="4"/>
        <v>74.064000000000007</v>
      </c>
      <c r="G35" s="46">
        <f t="shared" si="5"/>
        <v>77.868000000000009</v>
      </c>
      <c r="H35">
        <v>36</v>
      </c>
      <c r="I35" s="24">
        <f t="shared" si="0"/>
        <v>6.25E-2</v>
      </c>
      <c r="J35" s="24">
        <f t="shared" si="6"/>
        <v>0.87326388888888895</v>
      </c>
      <c r="K35">
        <f t="shared" si="1"/>
        <v>0.83512507963281934</v>
      </c>
      <c r="L35">
        <f t="shared" si="2"/>
        <v>3.8138809256069606E-2</v>
      </c>
    </row>
    <row r="36" spans="1:13" x14ac:dyDescent="0.3">
      <c r="A36" s="4">
        <v>3</v>
      </c>
      <c r="B36" s="6" t="s">
        <v>35</v>
      </c>
      <c r="C36" s="6">
        <v>51</v>
      </c>
      <c r="E36">
        <f t="shared" si="3"/>
        <v>18</v>
      </c>
      <c r="F36" s="46">
        <f t="shared" si="4"/>
        <v>77.868000000000009</v>
      </c>
      <c r="G36" s="46">
        <f t="shared" si="5"/>
        <v>81.672000000000011</v>
      </c>
      <c r="H36">
        <v>22</v>
      </c>
      <c r="I36" s="24">
        <f t="shared" si="0"/>
        <v>3.8194444444444448E-2</v>
      </c>
      <c r="J36" s="24">
        <f t="shared" si="6"/>
        <v>0.91145833333333337</v>
      </c>
      <c r="K36">
        <f t="shared" si="1"/>
        <v>0.8969816922195043</v>
      </c>
      <c r="L36">
        <f t="shared" si="2"/>
        <v>1.447664111382907E-2</v>
      </c>
    </row>
    <row r="37" spans="1:13" x14ac:dyDescent="0.3">
      <c r="A37" s="4">
        <v>371</v>
      </c>
      <c r="B37" s="6" t="s">
        <v>35</v>
      </c>
      <c r="C37" s="6">
        <v>51.4</v>
      </c>
      <c r="E37">
        <f t="shared" si="3"/>
        <v>19</v>
      </c>
      <c r="F37" s="46">
        <f t="shared" si="4"/>
        <v>81.672000000000011</v>
      </c>
      <c r="G37" s="46">
        <f t="shared" si="5"/>
        <v>85.476000000000013</v>
      </c>
      <c r="H37">
        <v>18</v>
      </c>
      <c r="I37" s="24">
        <f t="shared" si="0"/>
        <v>3.125E-2</v>
      </c>
      <c r="J37" s="24">
        <f t="shared" si="6"/>
        <v>0.94270833333333337</v>
      </c>
      <c r="K37">
        <f t="shared" si="1"/>
        <v>0.93996265957602443</v>
      </c>
      <c r="L37">
        <f t="shared" si="2"/>
        <v>2.7456737573089418E-3</v>
      </c>
    </row>
    <row r="38" spans="1:13" x14ac:dyDescent="0.3">
      <c r="A38" s="4">
        <v>549</v>
      </c>
      <c r="B38" s="6" t="s">
        <v>35</v>
      </c>
      <c r="C38" s="6">
        <v>53.1</v>
      </c>
      <c r="E38">
        <f t="shared" si="3"/>
        <v>20</v>
      </c>
      <c r="F38" s="46">
        <f t="shared" si="4"/>
        <v>85.476000000000013</v>
      </c>
      <c r="G38" s="46">
        <f t="shared" si="5"/>
        <v>89.280000000000015</v>
      </c>
      <c r="H38">
        <v>17</v>
      </c>
      <c r="I38" s="24">
        <f t="shared" si="0"/>
        <v>2.9513888888888888E-2</v>
      </c>
      <c r="J38" s="24">
        <f t="shared" si="6"/>
        <v>0.97222222222222221</v>
      </c>
      <c r="K38">
        <f t="shared" si="1"/>
        <v>0.96743621009968006</v>
      </c>
      <c r="L38">
        <f t="shared" si="2"/>
        <v>4.7860121225421492E-3</v>
      </c>
    </row>
    <row r="39" spans="1:13" x14ac:dyDescent="0.3">
      <c r="A39" s="4">
        <v>1243</v>
      </c>
      <c r="B39" s="6" t="s">
        <v>35</v>
      </c>
      <c r="C39" s="6">
        <v>53.8</v>
      </c>
      <c r="E39">
        <f t="shared" si="3"/>
        <v>21</v>
      </c>
      <c r="F39" s="46">
        <f t="shared" si="4"/>
        <v>89.280000000000015</v>
      </c>
      <c r="G39" s="46">
        <f t="shared" si="5"/>
        <v>93.084000000000017</v>
      </c>
      <c r="H39">
        <v>11</v>
      </c>
      <c r="I39" s="24">
        <f t="shared" si="0"/>
        <v>1.9097222222222224E-2</v>
      </c>
      <c r="J39" s="24">
        <f t="shared" si="6"/>
        <v>0.99131944444444442</v>
      </c>
      <c r="K39">
        <f t="shared" si="1"/>
        <v>0.98359098820453827</v>
      </c>
      <c r="L39">
        <f t="shared" si="2"/>
        <v>7.7284562399061452E-3</v>
      </c>
    </row>
    <row r="40" spans="1:13" x14ac:dyDescent="0.3">
      <c r="A40" s="4">
        <v>161</v>
      </c>
      <c r="B40" s="6" t="s">
        <v>35</v>
      </c>
      <c r="C40" s="6">
        <v>55</v>
      </c>
      <c r="E40">
        <f>E39+1</f>
        <v>22</v>
      </c>
      <c r="F40" s="46">
        <f t="shared" si="4"/>
        <v>93.084000000000017</v>
      </c>
      <c r="G40" s="46">
        <f t="shared" si="5"/>
        <v>96.888000000000019</v>
      </c>
      <c r="H40">
        <v>3</v>
      </c>
      <c r="I40" s="24">
        <f t="shared" si="0"/>
        <v>5.208333333333333E-3</v>
      </c>
      <c r="J40" s="24">
        <f t="shared" si="6"/>
        <v>0.99652777777777779</v>
      </c>
      <c r="K40">
        <f t="shared" si="1"/>
        <v>0.99232942393734713</v>
      </c>
      <c r="L40">
        <f t="shared" si="2"/>
        <v>4.1983538404306575E-3</v>
      </c>
    </row>
    <row r="41" spans="1:13" x14ac:dyDescent="0.3">
      <c r="A41" s="4">
        <v>202</v>
      </c>
      <c r="B41" s="6" t="s">
        <v>35</v>
      </c>
      <c r="C41" s="6">
        <v>55.2</v>
      </c>
      <c r="E41">
        <f t="shared" si="3"/>
        <v>23</v>
      </c>
      <c r="F41" s="46">
        <f t="shared" si="4"/>
        <v>96.888000000000019</v>
      </c>
      <c r="G41" s="46">
        <f t="shared" si="5"/>
        <v>100.69200000000002</v>
      </c>
      <c r="H41">
        <v>1</v>
      </c>
      <c r="I41" s="24">
        <f t="shared" si="0"/>
        <v>1.736111111111111E-3</v>
      </c>
      <c r="J41" s="24">
        <f t="shared" si="6"/>
        <v>0.99826388888888895</v>
      </c>
      <c r="K41">
        <f t="shared" si="1"/>
        <v>0.99667764491999156</v>
      </c>
      <c r="L41">
        <f t="shared" si="2"/>
        <v>1.5862439688973939E-3</v>
      </c>
    </row>
    <row r="42" spans="1:13" x14ac:dyDescent="0.3">
      <c r="A42" s="4">
        <v>243</v>
      </c>
      <c r="B42" s="6" t="s">
        <v>35</v>
      </c>
      <c r="C42" s="6">
        <v>55.2</v>
      </c>
      <c r="E42">
        <f t="shared" si="3"/>
        <v>24</v>
      </c>
      <c r="F42" s="46">
        <f t="shared" si="4"/>
        <v>100.69200000000002</v>
      </c>
      <c r="G42" s="46">
        <f t="shared" si="5"/>
        <v>104.49600000000002</v>
      </c>
      <c r="H42">
        <v>0</v>
      </c>
      <c r="I42" s="24">
        <f t="shared" si="0"/>
        <v>0</v>
      </c>
      <c r="J42" s="24">
        <f t="shared" si="6"/>
        <v>0.99826388888888895</v>
      </c>
      <c r="K42">
        <f t="shared" si="1"/>
        <v>0.99866801249880832</v>
      </c>
      <c r="L42">
        <f t="shared" si="2"/>
        <v>4.0412360991937124E-4</v>
      </c>
    </row>
    <row r="43" spans="1:13" x14ac:dyDescent="0.3">
      <c r="A43" s="4">
        <v>225</v>
      </c>
      <c r="B43" s="6" t="s">
        <v>35</v>
      </c>
      <c r="C43" s="6">
        <v>55.5</v>
      </c>
      <c r="E43">
        <f>E42+1</f>
        <v>25</v>
      </c>
      <c r="F43" s="46">
        <f t="shared" si="4"/>
        <v>104.49600000000002</v>
      </c>
      <c r="G43" s="46">
        <f t="shared" si="5"/>
        <v>108.30000000000003</v>
      </c>
      <c r="H43">
        <v>1</v>
      </c>
      <c r="I43" s="24">
        <f t="shared" si="0"/>
        <v>1.736111111111111E-3</v>
      </c>
      <c r="J43" s="27">
        <f t="shared" si="6"/>
        <v>1</v>
      </c>
      <c r="K43">
        <f t="shared" si="1"/>
        <v>0.99950611501237063</v>
      </c>
      <c r="L43">
        <f t="shared" si="2"/>
        <v>4.9388498762936717E-4</v>
      </c>
    </row>
    <row r="44" spans="1:13" x14ac:dyDescent="0.3">
      <c r="A44" s="4">
        <v>420</v>
      </c>
      <c r="B44" s="6" t="s">
        <v>35</v>
      </c>
      <c r="C44" s="6">
        <v>57</v>
      </c>
      <c r="H44">
        <v>0</v>
      </c>
      <c r="I44" s="27">
        <f>SUM(I19:I43)</f>
        <v>1</v>
      </c>
      <c r="K44" s="14" t="s">
        <v>624</v>
      </c>
      <c r="L44" s="28">
        <f>SUM(L19:L43)</f>
        <v>0.46883118151406483</v>
      </c>
    </row>
    <row r="45" spans="1:13" x14ac:dyDescent="0.3">
      <c r="A45" s="4">
        <v>200</v>
      </c>
      <c r="B45" s="6" t="s">
        <v>35</v>
      </c>
      <c r="C45" s="6">
        <v>57.5</v>
      </c>
      <c r="H45" s="26">
        <f>SUM(H19:H43)</f>
        <v>576</v>
      </c>
    </row>
    <row r="46" spans="1:13" x14ac:dyDescent="0.3">
      <c r="A46" s="4">
        <v>531</v>
      </c>
      <c r="B46" s="6" t="s">
        <v>35</v>
      </c>
      <c r="C46" s="6">
        <v>58.2</v>
      </c>
      <c r="K46" s="14" t="s">
        <v>625</v>
      </c>
      <c r="L46">
        <f>MAX(L19:L43)</f>
        <v>8.4758895067024248E-2</v>
      </c>
    </row>
    <row r="47" spans="1:13" x14ac:dyDescent="0.3">
      <c r="A47" s="4">
        <v>473</v>
      </c>
      <c r="B47" s="6" t="s">
        <v>35</v>
      </c>
      <c r="C47" s="6">
        <v>58.8</v>
      </c>
      <c r="K47" s="14" t="s">
        <v>626</v>
      </c>
      <c r="L47">
        <v>0.05</v>
      </c>
      <c r="M47" s="29">
        <v>0.95</v>
      </c>
    </row>
    <row r="48" spans="1:13" x14ac:dyDescent="0.3">
      <c r="A48" s="4">
        <v>1057</v>
      </c>
      <c r="B48" s="6" t="s">
        <v>35</v>
      </c>
      <c r="C48" s="6">
        <v>59</v>
      </c>
      <c r="K48" s="14" t="s">
        <v>627</v>
      </c>
      <c r="L48">
        <f>H45</f>
        <v>576</v>
      </c>
    </row>
    <row r="49" spans="1:13" x14ac:dyDescent="0.3">
      <c r="A49" s="4">
        <v>1085</v>
      </c>
      <c r="B49" s="6" t="s">
        <v>35</v>
      </c>
      <c r="C49" s="6">
        <v>59.5</v>
      </c>
      <c r="K49" s="14" t="s">
        <v>628</v>
      </c>
      <c r="L49">
        <f>1.36/SQRT(L48)</f>
        <v>5.6666666666666671E-2</v>
      </c>
    </row>
    <row r="50" spans="1:13" x14ac:dyDescent="0.3">
      <c r="A50" s="4">
        <v>171</v>
      </c>
      <c r="B50" s="6" t="s">
        <v>35</v>
      </c>
      <c r="C50" s="6">
        <v>60</v>
      </c>
    </row>
    <row r="51" spans="1:13" x14ac:dyDescent="0.3">
      <c r="A51" s="4">
        <v>180</v>
      </c>
      <c r="B51" s="6" t="s">
        <v>35</v>
      </c>
      <c r="C51" s="6">
        <v>60</v>
      </c>
      <c r="K51" s="14" t="s">
        <v>629</v>
      </c>
      <c r="L51" t="str">
        <f>IF(L46&gt;L49,"Hay diferencias","No hay diferencias")</f>
        <v>Hay diferencias</v>
      </c>
    </row>
    <row r="52" spans="1:13" x14ac:dyDescent="0.3">
      <c r="A52" s="4">
        <v>203</v>
      </c>
      <c r="B52" s="6" t="s">
        <v>35</v>
      </c>
      <c r="C52" s="6">
        <v>60</v>
      </c>
    </row>
    <row r="53" spans="1:13" x14ac:dyDescent="0.3">
      <c r="A53" s="4">
        <v>2</v>
      </c>
      <c r="B53" s="6" t="s">
        <v>35</v>
      </c>
      <c r="C53" s="6">
        <v>60.5</v>
      </c>
      <c r="K53" s="62" t="s">
        <v>630</v>
      </c>
      <c r="L53" s="63"/>
      <c r="M53" s="63"/>
    </row>
    <row r="54" spans="1:13" x14ac:dyDescent="0.3">
      <c r="A54" s="4">
        <v>517</v>
      </c>
      <c r="B54" s="6" t="s">
        <v>35</v>
      </c>
      <c r="C54" s="6">
        <v>60.6</v>
      </c>
      <c r="K54" s="63"/>
      <c r="L54" s="63"/>
      <c r="M54" s="63"/>
    </row>
    <row r="55" spans="1:13" x14ac:dyDescent="0.3">
      <c r="A55" s="4">
        <v>179</v>
      </c>
      <c r="B55" s="6" t="s">
        <v>35</v>
      </c>
      <c r="C55" s="6">
        <v>60.9</v>
      </c>
    </row>
    <row r="56" spans="1:13" x14ac:dyDescent="0.3">
      <c r="A56" s="4">
        <v>258</v>
      </c>
      <c r="B56" s="6" t="s">
        <v>35</v>
      </c>
      <c r="C56" s="6">
        <v>61.1</v>
      </c>
    </row>
    <row r="57" spans="1:13" x14ac:dyDescent="0.3">
      <c r="A57" s="4">
        <v>229</v>
      </c>
      <c r="B57" s="6" t="s">
        <v>35</v>
      </c>
      <c r="C57" s="6">
        <v>61.3</v>
      </c>
    </row>
    <row r="58" spans="1:13" x14ac:dyDescent="0.3">
      <c r="A58" s="4">
        <v>1042</v>
      </c>
      <c r="B58" s="6" t="s">
        <v>35</v>
      </c>
      <c r="C58" s="6">
        <v>61.8</v>
      </c>
    </row>
    <row r="59" spans="1:13" x14ac:dyDescent="0.3">
      <c r="A59" s="4">
        <v>1245</v>
      </c>
      <c r="B59" s="6" t="s">
        <v>35</v>
      </c>
      <c r="C59" s="6">
        <v>61.8</v>
      </c>
    </row>
    <row r="60" spans="1:13" x14ac:dyDescent="0.3">
      <c r="A60" s="4">
        <v>166</v>
      </c>
      <c r="B60" s="6" t="s">
        <v>35</v>
      </c>
      <c r="C60" s="6">
        <v>62</v>
      </c>
    </row>
    <row r="61" spans="1:13" x14ac:dyDescent="0.3">
      <c r="A61" s="4">
        <v>541</v>
      </c>
      <c r="B61" s="6" t="s">
        <v>35</v>
      </c>
      <c r="C61" s="6">
        <v>62.1</v>
      </c>
    </row>
    <row r="62" spans="1:13" x14ac:dyDescent="0.3">
      <c r="A62" s="4">
        <v>668</v>
      </c>
      <c r="B62" s="6" t="s">
        <v>35</v>
      </c>
      <c r="C62" s="6">
        <v>62.2</v>
      </c>
    </row>
    <row r="63" spans="1:13" x14ac:dyDescent="0.3">
      <c r="A63" s="4">
        <v>406</v>
      </c>
      <c r="B63" s="6" t="s">
        <v>35</v>
      </c>
      <c r="C63" s="6">
        <v>62.3</v>
      </c>
    </row>
    <row r="64" spans="1:13" x14ac:dyDescent="0.3">
      <c r="A64" s="4">
        <v>210</v>
      </c>
      <c r="B64" s="6" t="s">
        <v>35</v>
      </c>
      <c r="C64" s="6">
        <v>62.5</v>
      </c>
    </row>
    <row r="65" spans="1:3" x14ac:dyDescent="0.3">
      <c r="A65" s="4">
        <v>195</v>
      </c>
      <c r="B65" s="6" t="s">
        <v>35</v>
      </c>
      <c r="C65" s="6">
        <v>62.6</v>
      </c>
    </row>
    <row r="66" spans="1:3" x14ac:dyDescent="0.3">
      <c r="A66" s="4">
        <v>178</v>
      </c>
      <c r="B66" s="6" t="s">
        <v>35</v>
      </c>
      <c r="C66" s="6">
        <v>63</v>
      </c>
    </row>
    <row r="67" spans="1:3" x14ac:dyDescent="0.3">
      <c r="A67" s="4">
        <v>1242</v>
      </c>
      <c r="B67" s="6" t="s">
        <v>35</v>
      </c>
      <c r="C67" s="6">
        <v>64</v>
      </c>
    </row>
    <row r="68" spans="1:3" x14ac:dyDescent="0.3">
      <c r="A68" s="4">
        <v>370</v>
      </c>
      <c r="B68" s="6" t="s">
        <v>35</v>
      </c>
      <c r="C68" s="6">
        <v>64.3</v>
      </c>
    </row>
    <row r="69" spans="1:3" x14ac:dyDescent="0.3">
      <c r="A69" s="4">
        <v>221</v>
      </c>
      <c r="B69" s="6" t="s">
        <v>35</v>
      </c>
      <c r="C69" s="6">
        <v>64.5</v>
      </c>
    </row>
    <row r="70" spans="1:3" x14ac:dyDescent="0.3">
      <c r="A70" s="4">
        <v>457</v>
      </c>
      <c r="B70" s="6" t="s">
        <v>35</v>
      </c>
      <c r="C70" s="6">
        <v>65</v>
      </c>
    </row>
    <row r="71" spans="1:3" x14ac:dyDescent="0.3">
      <c r="A71" s="4">
        <v>1093</v>
      </c>
      <c r="B71" s="6" t="s">
        <v>35</v>
      </c>
      <c r="C71" s="6">
        <v>65.400000000000006</v>
      </c>
    </row>
    <row r="72" spans="1:3" x14ac:dyDescent="0.3">
      <c r="A72" s="4">
        <v>492</v>
      </c>
      <c r="B72" s="6" t="s">
        <v>35</v>
      </c>
      <c r="C72" s="6">
        <v>65.7</v>
      </c>
    </row>
    <row r="73" spans="1:3" x14ac:dyDescent="0.3">
      <c r="A73" s="4">
        <v>217</v>
      </c>
      <c r="B73" s="6" t="s">
        <v>35</v>
      </c>
      <c r="C73" s="6">
        <v>66</v>
      </c>
    </row>
    <row r="74" spans="1:3" x14ac:dyDescent="0.3">
      <c r="A74" s="4">
        <v>601</v>
      </c>
      <c r="B74" s="6" t="s">
        <v>35</v>
      </c>
      <c r="C74" s="6">
        <v>66.099999999999994</v>
      </c>
    </row>
    <row r="75" spans="1:3" x14ac:dyDescent="0.3">
      <c r="A75" s="4">
        <v>168</v>
      </c>
      <c r="B75" s="6" t="s">
        <v>35</v>
      </c>
      <c r="C75" s="6">
        <v>66.2</v>
      </c>
    </row>
    <row r="76" spans="1:3" x14ac:dyDescent="0.3">
      <c r="A76" s="4">
        <v>547</v>
      </c>
      <c r="B76" s="6" t="s">
        <v>35</v>
      </c>
      <c r="C76" s="6">
        <v>66.2</v>
      </c>
    </row>
    <row r="77" spans="1:3" x14ac:dyDescent="0.3">
      <c r="A77" s="4">
        <v>247</v>
      </c>
      <c r="B77" s="6" t="s">
        <v>35</v>
      </c>
      <c r="C77" s="6">
        <v>66.900000000000006</v>
      </c>
    </row>
    <row r="78" spans="1:3" x14ac:dyDescent="0.3">
      <c r="A78" s="4">
        <v>249</v>
      </c>
      <c r="B78" s="6" t="s">
        <v>35</v>
      </c>
      <c r="C78" s="6">
        <v>67.099999999999994</v>
      </c>
    </row>
    <row r="79" spans="1:3" x14ac:dyDescent="0.3">
      <c r="A79" s="4">
        <v>580</v>
      </c>
      <c r="B79" s="6" t="s">
        <v>35</v>
      </c>
      <c r="C79" s="6">
        <v>67.5</v>
      </c>
    </row>
    <row r="80" spans="1:3" x14ac:dyDescent="0.3">
      <c r="A80" s="4">
        <v>158</v>
      </c>
      <c r="B80" s="6" t="s">
        <v>35</v>
      </c>
      <c r="C80" s="6">
        <v>68</v>
      </c>
    </row>
    <row r="81" spans="1:3" x14ac:dyDescent="0.3">
      <c r="A81" s="4">
        <v>226</v>
      </c>
      <c r="B81" s="6" t="s">
        <v>35</v>
      </c>
      <c r="C81" s="6">
        <v>68</v>
      </c>
    </row>
    <row r="82" spans="1:3" x14ac:dyDescent="0.3">
      <c r="A82" s="4">
        <v>186</v>
      </c>
      <c r="B82" s="6" t="s">
        <v>35</v>
      </c>
      <c r="C82" s="6">
        <v>68.5</v>
      </c>
    </row>
    <row r="83" spans="1:3" x14ac:dyDescent="0.3">
      <c r="A83" s="4">
        <v>270</v>
      </c>
      <c r="B83" s="6" t="s">
        <v>35</v>
      </c>
      <c r="C83" s="6">
        <v>68.5</v>
      </c>
    </row>
    <row r="84" spans="1:3" x14ac:dyDescent="0.3">
      <c r="A84" s="4">
        <v>376</v>
      </c>
      <c r="B84" s="6" t="s">
        <v>35</v>
      </c>
      <c r="C84" s="6">
        <v>68.599999999999994</v>
      </c>
    </row>
    <row r="85" spans="1:3" x14ac:dyDescent="0.3">
      <c r="A85" s="4">
        <v>175</v>
      </c>
      <c r="B85" s="6" t="s">
        <v>35</v>
      </c>
      <c r="C85" s="6">
        <v>69.2</v>
      </c>
    </row>
    <row r="86" spans="1:3" x14ac:dyDescent="0.3">
      <c r="A86" s="4">
        <v>597</v>
      </c>
      <c r="B86" s="6" t="s">
        <v>35</v>
      </c>
      <c r="C86" s="6">
        <v>69.3</v>
      </c>
    </row>
    <row r="87" spans="1:3" x14ac:dyDescent="0.3">
      <c r="A87" s="4">
        <v>1125</v>
      </c>
      <c r="B87" s="6" t="s">
        <v>35</v>
      </c>
      <c r="C87" s="6">
        <v>69.5</v>
      </c>
    </row>
    <row r="88" spans="1:3" x14ac:dyDescent="0.3">
      <c r="A88" s="4">
        <v>1119</v>
      </c>
      <c r="B88" s="6" t="s">
        <v>35</v>
      </c>
      <c r="C88" s="6">
        <v>69.599999999999994</v>
      </c>
    </row>
    <row r="89" spans="1:3" x14ac:dyDescent="0.3">
      <c r="A89" s="4">
        <v>208</v>
      </c>
      <c r="B89" s="6" t="s">
        <v>35</v>
      </c>
      <c r="C89" s="6">
        <v>69.7</v>
      </c>
    </row>
    <row r="90" spans="1:3" x14ac:dyDescent="0.3">
      <c r="A90" s="4">
        <v>366</v>
      </c>
      <c r="B90" s="6" t="s">
        <v>35</v>
      </c>
      <c r="C90" s="6">
        <v>69.7</v>
      </c>
    </row>
    <row r="91" spans="1:3" x14ac:dyDescent="0.3">
      <c r="A91" s="4">
        <v>685</v>
      </c>
      <c r="B91" s="6" t="s">
        <v>35</v>
      </c>
      <c r="C91" s="6">
        <v>69.8</v>
      </c>
    </row>
    <row r="92" spans="1:3" x14ac:dyDescent="0.3">
      <c r="A92" s="4">
        <v>313</v>
      </c>
      <c r="B92" s="6" t="s">
        <v>35</v>
      </c>
      <c r="C92" s="6">
        <v>70.3</v>
      </c>
    </row>
    <row r="93" spans="1:3" x14ac:dyDescent="0.3">
      <c r="A93" s="4">
        <v>169</v>
      </c>
      <c r="B93" s="6" t="s">
        <v>35</v>
      </c>
      <c r="C93" s="6">
        <v>70.5</v>
      </c>
    </row>
    <row r="94" spans="1:3" x14ac:dyDescent="0.3">
      <c r="A94" s="4">
        <v>522</v>
      </c>
      <c r="B94" s="6" t="s">
        <v>35</v>
      </c>
      <c r="C94" s="6">
        <v>71.099999999999994</v>
      </c>
    </row>
    <row r="95" spans="1:3" x14ac:dyDescent="0.3">
      <c r="A95" s="4">
        <v>182</v>
      </c>
      <c r="B95" s="6" t="s">
        <v>35</v>
      </c>
      <c r="C95" s="6">
        <v>71.2</v>
      </c>
    </row>
    <row r="96" spans="1:3" x14ac:dyDescent="0.3">
      <c r="A96" s="4">
        <v>372</v>
      </c>
      <c r="B96" s="6" t="s">
        <v>35</v>
      </c>
      <c r="C96" s="6">
        <v>71.400000000000006</v>
      </c>
    </row>
    <row r="97" spans="1:3" x14ac:dyDescent="0.3">
      <c r="A97" s="4">
        <v>215</v>
      </c>
      <c r="B97" s="6" t="s">
        <v>35</v>
      </c>
      <c r="C97" s="6">
        <v>71.5</v>
      </c>
    </row>
    <row r="98" spans="1:3" x14ac:dyDescent="0.3">
      <c r="A98" s="4">
        <v>1043</v>
      </c>
      <c r="B98" s="6" t="s">
        <v>35</v>
      </c>
      <c r="C98" s="6">
        <v>71.5</v>
      </c>
    </row>
    <row r="99" spans="1:3" x14ac:dyDescent="0.3">
      <c r="A99" s="4">
        <v>242</v>
      </c>
      <c r="B99" s="6" t="s">
        <v>35</v>
      </c>
      <c r="C99" s="6">
        <v>71.599999999999994</v>
      </c>
    </row>
    <row r="100" spans="1:3" x14ac:dyDescent="0.3">
      <c r="A100" s="4">
        <v>650</v>
      </c>
      <c r="B100" s="6" t="s">
        <v>35</v>
      </c>
      <c r="C100" s="6">
        <v>71.7</v>
      </c>
    </row>
    <row r="101" spans="1:3" x14ac:dyDescent="0.3">
      <c r="A101" s="4">
        <v>250</v>
      </c>
      <c r="B101" s="6" t="s">
        <v>35</v>
      </c>
      <c r="C101" s="6">
        <v>71.8</v>
      </c>
    </row>
    <row r="102" spans="1:3" x14ac:dyDescent="0.3">
      <c r="A102" s="4">
        <v>159</v>
      </c>
      <c r="B102" s="6" t="s">
        <v>35</v>
      </c>
      <c r="C102" s="6">
        <v>72</v>
      </c>
    </row>
    <row r="103" spans="1:3" x14ac:dyDescent="0.3">
      <c r="A103" s="4">
        <v>193</v>
      </c>
      <c r="B103" s="6" t="s">
        <v>35</v>
      </c>
      <c r="C103" s="6">
        <v>72</v>
      </c>
    </row>
    <row r="104" spans="1:3" x14ac:dyDescent="0.3">
      <c r="A104" s="4">
        <v>201</v>
      </c>
      <c r="B104" s="6" t="s">
        <v>35</v>
      </c>
      <c r="C104" s="6">
        <v>72</v>
      </c>
    </row>
    <row r="105" spans="1:3" x14ac:dyDescent="0.3">
      <c r="A105" s="4">
        <v>238</v>
      </c>
      <c r="B105" s="6" t="s">
        <v>35</v>
      </c>
      <c r="C105" s="6">
        <v>72</v>
      </c>
    </row>
    <row r="106" spans="1:3" x14ac:dyDescent="0.3">
      <c r="A106" s="4">
        <v>592</v>
      </c>
      <c r="B106" s="6" t="s">
        <v>35</v>
      </c>
      <c r="C106" s="6">
        <v>72.2</v>
      </c>
    </row>
    <row r="107" spans="1:3" x14ac:dyDescent="0.3">
      <c r="A107" s="4">
        <v>266</v>
      </c>
      <c r="B107" s="6" t="s">
        <v>35</v>
      </c>
      <c r="C107" s="6">
        <v>72.599999999999994</v>
      </c>
    </row>
    <row r="108" spans="1:3" x14ac:dyDescent="0.3">
      <c r="A108" s="4">
        <v>235</v>
      </c>
      <c r="B108" s="6" t="s">
        <v>35</v>
      </c>
      <c r="C108" s="6">
        <v>73</v>
      </c>
    </row>
    <row r="109" spans="1:3" x14ac:dyDescent="0.3">
      <c r="A109" s="4">
        <v>393</v>
      </c>
      <c r="B109" s="6" t="s">
        <v>35</v>
      </c>
      <c r="C109" s="6">
        <v>73</v>
      </c>
    </row>
    <row r="110" spans="1:3" x14ac:dyDescent="0.3">
      <c r="A110" s="4">
        <v>474</v>
      </c>
      <c r="B110" s="6" t="s">
        <v>35</v>
      </c>
      <c r="C110" s="6">
        <v>73.099999999999994</v>
      </c>
    </row>
    <row r="111" spans="1:3" x14ac:dyDescent="0.3">
      <c r="A111" s="4">
        <v>550</v>
      </c>
      <c r="B111" s="6" t="s">
        <v>35</v>
      </c>
      <c r="C111" s="6">
        <v>73.2</v>
      </c>
    </row>
    <row r="112" spans="1:3" x14ac:dyDescent="0.3">
      <c r="A112" s="4">
        <v>654</v>
      </c>
      <c r="B112" s="6" t="s">
        <v>35</v>
      </c>
      <c r="C112" s="6">
        <v>73.400000000000006</v>
      </c>
    </row>
    <row r="113" spans="1:3" x14ac:dyDescent="0.3">
      <c r="A113" s="4">
        <v>1055</v>
      </c>
      <c r="B113" s="6" t="s">
        <v>35</v>
      </c>
      <c r="C113" s="6">
        <v>73.400000000000006</v>
      </c>
    </row>
    <row r="114" spans="1:3" x14ac:dyDescent="0.3">
      <c r="A114" s="4">
        <v>185</v>
      </c>
      <c r="B114" s="6" t="s">
        <v>35</v>
      </c>
      <c r="C114" s="6">
        <v>73.7</v>
      </c>
    </row>
    <row r="115" spans="1:3" x14ac:dyDescent="0.3">
      <c r="A115" s="4">
        <v>197</v>
      </c>
      <c r="B115" s="6" t="s">
        <v>35</v>
      </c>
      <c r="C115" s="6">
        <v>73.7</v>
      </c>
    </row>
    <row r="116" spans="1:3" x14ac:dyDescent="0.3">
      <c r="A116" s="4">
        <v>253</v>
      </c>
      <c r="B116" s="6" t="s">
        <v>35</v>
      </c>
      <c r="C116" s="6">
        <v>73.7</v>
      </c>
    </row>
    <row r="117" spans="1:3" x14ac:dyDescent="0.3">
      <c r="A117" s="4">
        <v>314</v>
      </c>
      <c r="B117" s="6" t="s">
        <v>35</v>
      </c>
      <c r="C117" s="6">
        <v>74</v>
      </c>
    </row>
    <row r="118" spans="1:3" x14ac:dyDescent="0.3">
      <c r="A118" s="4">
        <v>381</v>
      </c>
      <c r="B118" s="6" t="s">
        <v>35</v>
      </c>
      <c r="C118" s="6">
        <v>74</v>
      </c>
    </row>
    <row r="119" spans="1:3" x14ac:dyDescent="0.3">
      <c r="A119" s="4">
        <v>691</v>
      </c>
      <c r="B119" s="6" t="s">
        <v>35</v>
      </c>
      <c r="C119" s="6">
        <v>74.099999999999994</v>
      </c>
    </row>
    <row r="120" spans="1:3" x14ac:dyDescent="0.3">
      <c r="A120" s="4">
        <v>257</v>
      </c>
      <c r="B120" s="6" t="s">
        <v>35</v>
      </c>
      <c r="C120" s="6">
        <v>74.2</v>
      </c>
    </row>
    <row r="121" spans="1:3" x14ac:dyDescent="0.3">
      <c r="A121" s="4">
        <v>174</v>
      </c>
      <c r="B121" s="6" t="s">
        <v>35</v>
      </c>
      <c r="C121" s="6">
        <v>74.3</v>
      </c>
    </row>
    <row r="122" spans="1:3" x14ac:dyDescent="0.3">
      <c r="A122" s="4">
        <v>233</v>
      </c>
      <c r="B122" s="6" t="s">
        <v>35</v>
      </c>
      <c r="C122" s="6">
        <v>74.400000000000006</v>
      </c>
    </row>
    <row r="123" spans="1:3" x14ac:dyDescent="0.3">
      <c r="A123" s="4">
        <v>218</v>
      </c>
      <c r="B123" s="6" t="s">
        <v>35</v>
      </c>
      <c r="C123" s="6">
        <v>74.5</v>
      </c>
    </row>
    <row r="124" spans="1:3" x14ac:dyDescent="0.3">
      <c r="A124" s="4">
        <v>1056</v>
      </c>
      <c r="B124" s="6" t="s">
        <v>35</v>
      </c>
      <c r="C124" s="6">
        <v>74.5</v>
      </c>
    </row>
    <row r="125" spans="1:3" x14ac:dyDescent="0.3">
      <c r="A125" s="4">
        <v>395</v>
      </c>
      <c r="B125" s="6" t="s">
        <v>35</v>
      </c>
      <c r="C125" s="6">
        <v>74.599999999999994</v>
      </c>
    </row>
    <row r="126" spans="1:3" x14ac:dyDescent="0.3">
      <c r="A126" s="4">
        <v>10</v>
      </c>
      <c r="B126" s="6" t="s">
        <v>35</v>
      </c>
      <c r="C126" s="6">
        <v>74.900000000000006</v>
      </c>
    </row>
    <row r="127" spans="1:3" x14ac:dyDescent="0.3">
      <c r="A127" s="4">
        <v>227</v>
      </c>
      <c r="B127" s="6" t="s">
        <v>35</v>
      </c>
      <c r="C127" s="6">
        <v>75.5</v>
      </c>
    </row>
    <row r="128" spans="1:3" x14ac:dyDescent="0.3">
      <c r="A128" s="4">
        <v>520</v>
      </c>
      <c r="B128" s="6" t="s">
        <v>35</v>
      </c>
      <c r="C128" s="6">
        <v>75.599999999999994</v>
      </c>
    </row>
    <row r="129" spans="1:3" x14ac:dyDescent="0.3">
      <c r="A129" s="4">
        <v>1091</v>
      </c>
      <c r="B129" s="6" t="s">
        <v>35</v>
      </c>
      <c r="C129" s="6">
        <v>75.8</v>
      </c>
    </row>
    <row r="130" spans="1:3" x14ac:dyDescent="0.3">
      <c r="A130" s="4">
        <v>1046</v>
      </c>
      <c r="B130" s="6" t="s">
        <v>35</v>
      </c>
      <c r="C130" s="6">
        <v>75.900000000000006</v>
      </c>
    </row>
    <row r="131" spans="1:3" x14ac:dyDescent="0.3">
      <c r="A131" s="4">
        <v>418</v>
      </c>
      <c r="B131" s="6" t="s">
        <v>35</v>
      </c>
      <c r="C131" s="6">
        <v>76</v>
      </c>
    </row>
    <row r="132" spans="1:3" x14ac:dyDescent="0.3">
      <c r="A132" s="4">
        <v>298</v>
      </c>
      <c r="B132" s="6" t="s">
        <v>35</v>
      </c>
      <c r="C132" s="6">
        <v>76.400000000000006</v>
      </c>
    </row>
    <row r="133" spans="1:3" x14ac:dyDescent="0.3">
      <c r="A133" s="4">
        <v>261</v>
      </c>
      <c r="B133" s="6" t="s">
        <v>35</v>
      </c>
      <c r="C133" s="6">
        <v>76.5</v>
      </c>
    </row>
    <row r="134" spans="1:3" x14ac:dyDescent="0.3">
      <c r="A134" s="4">
        <v>398</v>
      </c>
      <c r="B134" s="6" t="s">
        <v>35</v>
      </c>
      <c r="C134" s="6">
        <v>76.599999999999994</v>
      </c>
    </row>
    <row r="135" spans="1:3" x14ac:dyDescent="0.3">
      <c r="A135" s="4">
        <v>414</v>
      </c>
      <c r="B135" s="6" t="s">
        <v>35</v>
      </c>
      <c r="C135" s="6">
        <v>76.599999999999994</v>
      </c>
    </row>
    <row r="136" spans="1:3" x14ac:dyDescent="0.3">
      <c r="A136" s="4">
        <v>239</v>
      </c>
      <c r="B136" s="6" t="s">
        <v>35</v>
      </c>
      <c r="C136" s="6">
        <v>77</v>
      </c>
    </row>
    <row r="137" spans="1:3" x14ac:dyDescent="0.3">
      <c r="A137" s="4">
        <v>303</v>
      </c>
      <c r="B137" s="6" t="s">
        <v>35</v>
      </c>
      <c r="C137" s="6">
        <v>77</v>
      </c>
    </row>
    <row r="138" spans="1:3" x14ac:dyDescent="0.3">
      <c r="A138" s="4">
        <v>493</v>
      </c>
      <c r="B138" s="6" t="s">
        <v>35</v>
      </c>
      <c r="C138" s="6">
        <v>77.900000000000006</v>
      </c>
    </row>
    <row r="139" spans="1:3" x14ac:dyDescent="0.3">
      <c r="A139" s="4">
        <v>316</v>
      </c>
      <c r="B139" s="6" t="s">
        <v>35</v>
      </c>
      <c r="C139" s="6">
        <v>78</v>
      </c>
    </row>
    <row r="140" spans="1:3" x14ac:dyDescent="0.3">
      <c r="A140" s="4">
        <v>634</v>
      </c>
      <c r="B140" s="6" t="s">
        <v>35</v>
      </c>
      <c r="C140" s="6">
        <v>78</v>
      </c>
    </row>
    <row r="141" spans="1:3" x14ac:dyDescent="0.3">
      <c r="A141" s="4">
        <v>240</v>
      </c>
      <c r="B141" s="6" t="s">
        <v>35</v>
      </c>
      <c r="C141" s="6">
        <v>78.400000000000006</v>
      </c>
    </row>
    <row r="142" spans="1:3" x14ac:dyDescent="0.3">
      <c r="A142" s="4">
        <v>536</v>
      </c>
      <c r="B142" s="6" t="s">
        <v>35</v>
      </c>
      <c r="C142" s="6">
        <v>78.8</v>
      </c>
    </row>
    <row r="143" spans="1:3" x14ac:dyDescent="0.3">
      <c r="A143" s="4">
        <v>1120</v>
      </c>
      <c r="B143" s="6" t="s">
        <v>35</v>
      </c>
      <c r="C143" s="6">
        <v>78.900000000000006</v>
      </c>
    </row>
    <row r="144" spans="1:3" x14ac:dyDescent="0.3">
      <c r="A144" s="4">
        <v>850</v>
      </c>
      <c r="B144" s="6" t="s">
        <v>35</v>
      </c>
      <c r="C144" s="6">
        <v>79</v>
      </c>
    </row>
    <row r="145" spans="1:3" x14ac:dyDescent="0.3">
      <c r="A145" s="4">
        <v>205</v>
      </c>
      <c r="B145" s="6" t="s">
        <v>35</v>
      </c>
      <c r="C145" s="6">
        <v>79.400000000000006</v>
      </c>
    </row>
    <row r="146" spans="1:3" x14ac:dyDescent="0.3">
      <c r="A146" s="4">
        <v>1092</v>
      </c>
      <c r="B146" s="6" t="s">
        <v>35</v>
      </c>
      <c r="C146" s="6">
        <v>79.900000000000006</v>
      </c>
    </row>
    <row r="147" spans="1:3" x14ac:dyDescent="0.3">
      <c r="A147" s="4">
        <v>184</v>
      </c>
      <c r="B147" s="6" t="s">
        <v>35</v>
      </c>
      <c r="C147" s="6">
        <v>80.2</v>
      </c>
    </row>
    <row r="148" spans="1:3" x14ac:dyDescent="0.3">
      <c r="A148" s="4">
        <v>216</v>
      </c>
      <c r="B148" s="6" t="s">
        <v>35</v>
      </c>
      <c r="C148" s="6">
        <v>80.2</v>
      </c>
    </row>
    <row r="149" spans="1:3" x14ac:dyDescent="0.3">
      <c r="A149" s="4">
        <v>320</v>
      </c>
      <c r="B149" s="6" t="s">
        <v>35</v>
      </c>
      <c r="C149" s="6">
        <v>80.599999999999994</v>
      </c>
    </row>
    <row r="150" spans="1:3" x14ac:dyDescent="0.3">
      <c r="A150" s="4">
        <v>391</v>
      </c>
      <c r="B150" s="6" t="s">
        <v>35</v>
      </c>
      <c r="C150" s="6">
        <v>80.7</v>
      </c>
    </row>
    <row r="151" spans="1:3" x14ac:dyDescent="0.3">
      <c r="A151" s="4">
        <v>362</v>
      </c>
      <c r="B151" s="6" t="s">
        <v>35</v>
      </c>
      <c r="C151" s="6">
        <v>80.8</v>
      </c>
    </row>
    <row r="152" spans="1:3" x14ac:dyDescent="0.3">
      <c r="A152" s="4">
        <v>396</v>
      </c>
      <c r="B152" s="6" t="s">
        <v>35</v>
      </c>
      <c r="C152" s="6">
        <v>80.8</v>
      </c>
    </row>
    <row r="153" spans="1:3" x14ac:dyDescent="0.3">
      <c r="A153" s="4">
        <v>244</v>
      </c>
      <c r="B153" s="6" t="s">
        <v>35</v>
      </c>
      <c r="C153" s="6">
        <v>81.2</v>
      </c>
    </row>
    <row r="154" spans="1:3" x14ac:dyDescent="0.3">
      <c r="A154" s="4">
        <v>214</v>
      </c>
      <c r="B154" s="6" t="s">
        <v>35</v>
      </c>
      <c r="C154" s="6">
        <v>82</v>
      </c>
    </row>
    <row r="155" spans="1:3" x14ac:dyDescent="0.3">
      <c r="A155" s="4">
        <v>326</v>
      </c>
      <c r="B155" s="6" t="s">
        <v>35</v>
      </c>
      <c r="C155" s="6">
        <v>82.4</v>
      </c>
    </row>
    <row r="156" spans="1:3" x14ac:dyDescent="0.3">
      <c r="A156" s="4">
        <v>392</v>
      </c>
      <c r="B156" s="6" t="s">
        <v>35</v>
      </c>
      <c r="C156" s="6">
        <v>82.4</v>
      </c>
    </row>
    <row r="157" spans="1:3" x14ac:dyDescent="0.3">
      <c r="A157" s="4">
        <v>1094</v>
      </c>
      <c r="B157" s="6" t="s">
        <v>35</v>
      </c>
      <c r="C157" s="6">
        <v>82.4</v>
      </c>
    </row>
    <row r="158" spans="1:3" x14ac:dyDescent="0.3">
      <c r="A158" s="4">
        <v>1048</v>
      </c>
      <c r="B158" s="6" t="s">
        <v>35</v>
      </c>
      <c r="C158" s="6">
        <v>82.6</v>
      </c>
    </row>
    <row r="159" spans="1:3" x14ac:dyDescent="0.3">
      <c r="A159" s="4">
        <v>653</v>
      </c>
      <c r="B159" s="6" t="s">
        <v>35</v>
      </c>
      <c r="C159" s="6">
        <v>82.7</v>
      </c>
    </row>
    <row r="160" spans="1:3" x14ac:dyDescent="0.3">
      <c r="A160" s="4">
        <v>1044</v>
      </c>
      <c r="B160" s="6" t="s">
        <v>35</v>
      </c>
      <c r="C160" s="6">
        <v>82.9</v>
      </c>
    </row>
    <row r="161" spans="1:3" x14ac:dyDescent="0.3">
      <c r="A161" s="4">
        <v>688</v>
      </c>
      <c r="B161" s="6" t="s">
        <v>35</v>
      </c>
      <c r="C161" s="6">
        <v>83</v>
      </c>
    </row>
    <row r="162" spans="1:3" x14ac:dyDescent="0.3">
      <c r="A162" s="4">
        <v>302</v>
      </c>
      <c r="B162" s="6" t="s">
        <v>35</v>
      </c>
      <c r="C162" s="6">
        <v>83.3</v>
      </c>
    </row>
    <row r="163" spans="1:3" x14ac:dyDescent="0.3">
      <c r="A163" s="4">
        <v>369</v>
      </c>
      <c r="B163" s="6" t="s">
        <v>35</v>
      </c>
      <c r="C163" s="6">
        <v>83.3</v>
      </c>
    </row>
    <row r="164" spans="1:3" x14ac:dyDescent="0.3">
      <c r="A164" s="4">
        <v>641</v>
      </c>
      <c r="B164" s="6" t="s">
        <v>35</v>
      </c>
      <c r="C164" s="6">
        <v>84.4</v>
      </c>
    </row>
    <row r="165" spans="1:3" x14ac:dyDescent="0.3">
      <c r="A165" s="4">
        <v>540</v>
      </c>
      <c r="B165" s="6" t="s">
        <v>35</v>
      </c>
      <c r="C165" s="6">
        <v>84.5</v>
      </c>
    </row>
    <row r="166" spans="1:3" x14ac:dyDescent="0.3">
      <c r="A166" s="4">
        <v>1124</v>
      </c>
      <c r="B166" s="6" t="s">
        <v>35</v>
      </c>
      <c r="C166" s="6">
        <v>84.5</v>
      </c>
    </row>
    <row r="167" spans="1:3" x14ac:dyDescent="0.3">
      <c r="A167" s="4">
        <v>1121</v>
      </c>
      <c r="B167" s="6" t="s">
        <v>35</v>
      </c>
      <c r="C167" s="6">
        <v>85.1</v>
      </c>
    </row>
    <row r="168" spans="1:3" x14ac:dyDescent="0.3">
      <c r="A168" s="4">
        <v>256</v>
      </c>
      <c r="B168" s="6" t="s">
        <v>35</v>
      </c>
      <c r="C168" s="6">
        <v>85.11</v>
      </c>
    </row>
    <row r="169" spans="1:3" x14ac:dyDescent="0.3">
      <c r="A169" s="4">
        <v>306</v>
      </c>
      <c r="B169" s="6" t="s">
        <v>35</v>
      </c>
      <c r="C169" s="6">
        <v>85.2</v>
      </c>
    </row>
    <row r="170" spans="1:3" x14ac:dyDescent="0.3">
      <c r="A170" s="4">
        <v>351</v>
      </c>
      <c r="B170" s="6" t="s">
        <v>35</v>
      </c>
      <c r="C170" s="6">
        <v>85.4</v>
      </c>
    </row>
    <row r="171" spans="1:3" x14ac:dyDescent="0.3">
      <c r="A171" s="4">
        <v>375</v>
      </c>
      <c r="B171" s="6" t="s">
        <v>35</v>
      </c>
      <c r="C171" s="6">
        <v>85.4</v>
      </c>
    </row>
    <row r="172" spans="1:3" x14ac:dyDescent="0.3">
      <c r="A172" s="4">
        <v>652</v>
      </c>
      <c r="B172" s="6" t="s">
        <v>35</v>
      </c>
      <c r="C172" s="6">
        <v>85.5</v>
      </c>
    </row>
    <row r="173" spans="1:3" x14ac:dyDescent="0.3">
      <c r="A173" s="4">
        <v>188</v>
      </c>
      <c r="B173" s="6" t="s">
        <v>35</v>
      </c>
      <c r="C173" s="6">
        <v>85.7</v>
      </c>
    </row>
    <row r="174" spans="1:3" x14ac:dyDescent="0.3">
      <c r="A174" s="4">
        <v>385</v>
      </c>
      <c r="B174" s="6" t="s">
        <v>35</v>
      </c>
      <c r="C174" s="6">
        <v>85.7</v>
      </c>
    </row>
    <row r="175" spans="1:3" x14ac:dyDescent="0.3">
      <c r="A175" s="4">
        <v>1095</v>
      </c>
      <c r="B175" s="6" t="s">
        <v>35</v>
      </c>
      <c r="C175" s="6">
        <v>85.9</v>
      </c>
    </row>
    <row r="176" spans="1:3" x14ac:dyDescent="0.3">
      <c r="A176" s="4">
        <v>165</v>
      </c>
      <c r="B176" s="6" t="s">
        <v>35</v>
      </c>
      <c r="C176" s="6">
        <v>86</v>
      </c>
    </row>
    <row r="177" spans="1:3" x14ac:dyDescent="0.3">
      <c r="A177" s="4">
        <v>295</v>
      </c>
      <c r="B177" s="6" t="s">
        <v>35</v>
      </c>
      <c r="C177" s="6">
        <v>86</v>
      </c>
    </row>
    <row r="178" spans="1:3" x14ac:dyDescent="0.3">
      <c r="A178" s="4">
        <v>1050</v>
      </c>
      <c r="B178" s="6" t="s">
        <v>35</v>
      </c>
      <c r="C178" s="6">
        <v>86.2</v>
      </c>
    </row>
    <row r="179" spans="1:3" x14ac:dyDescent="0.3">
      <c r="A179" s="4">
        <v>394</v>
      </c>
      <c r="B179" s="6" t="s">
        <v>35</v>
      </c>
      <c r="C179" s="6">
        <v>86.9</v>
      </c>
    </row>
    <row r="180" spans="1:3" x14ac:dyDescent="0.3">
      <c r="A180" s="4">
        <v>965</v>
      </c>
      <c r="B180" s="6" t="s">
        <v>35</v>
      </c>
      <c r="C180" s="6">
        <v>87.2</v>
      </c>
    </row>
    <row r="181" spans="1:3" x14ac:dyDescent="0.3">
      <c r="A181" s="4">
        <v>1045</v>
      </c>
      <c r="B181" s="6" t="s">
        <v>35</v>
      </c>
      <c r="C181" s="6">
        <v>87.4</v>
      </c>
    </row>
    <row r="182" spans="1:3" x14ac:dyDescent="0.3">
      <c r="A182" s="4">
        <v>263</v>
      </c>
      <c r="B182" s="6" t="s">
        <v>35</v>
      </c>
      <c r="C182" s="6">
        <v>87.5</v>
      </c>
    </row>
    <row r="183" spans="1:3" x14ac:dyDescent="0.3">
      <c r="A183" s="4">
        <v>273</v>
      </c>
      <c r="B183" s="6" t="s">
        <v>35</v>
      </c>
      <c r="C183" s="6">
        <v>87.5</v>
      </c>
    </row>
    <row r="184" spans="1:3" x14ac:dyDescent="0.3">
      <c r="A184" s="4">
        <v>211</v>
      </c>
      <c r="B184" s="6" t="s">
        <v>35</v>
      </c>
      <c r="C184" s="6">
        <v>88</v>
      </c>
    </row>
    <row r="185" spans="1:3" x14ac:dyDescent="0.3">
      <c r="A185" s="4">
        <v>1122</v>
      </c>
      <c r="B185" s="6" t="s">
        <v>35</v>
      </c>
      <c r="C185" s="6">
        <v>88</v>
      </c>
    </row>
    <row r="186" spans="1:3" x14ac:dyDescent="0.3">
      <c r="A186" s="4">
        <v>1106</v>
      </c>
      <c r="B186" s="6" t="s">
        <v>35</v>
      </c>
      <c r="C186" s="6">
        <v>88.3</v>
      </c>
    </row>
    <row r="187" spans="1:3" x14ac:dyDescent="0.3">
      <c r="A187" s="4">
        <v>519</v>
      </c>
      <c r="B187" s="6" t="s">
        <v>35</v>
      </c>
      <c r="C187" s="6">
        <v>88.4</v>
      </c>
    </row>
    <row r="188" spans="1:3" x14ac:dyDescent="0.3">
      <c r="A188" s="4">
        <v>966</v>
      </c>
      <c r="B188" s="6" t="s">
        <v>35</v>
      </c>
      <c r="C188" s="6">
        <v>88.4</v>
      </c>
    </row>
    <row r="189" spans="1:3" x14ac:dyDescent="0.3">
      <c r="A189" s="4">
        <v>651</v>
      </c>
      <c r="B189" s="6" t="s">
        <v>35</v>
      </c>
      <c r="C189" s="6">
        <v>89.3</v>
      </c>
    </row>
    <row r="190" spans="1:3" x14ac:dyDescent="0.3">
      <c r="A190" s="4">
        <v>535</v>
      </c>
      <c r="B190" s="6" t="s">
        <v>35</v>
      </c>
      <c r="C190" s="6">
        <v>89.7</v>
      </c>
    </row>
    <row r="191" spans="1:3" x14ac:dyDescent="0.3">
      <c r="A191" s="4">
        <v>384</v>
      </c>
      <c r="B191" s="6" t="s">
        <v>35</v>
      </c>
      <c r="C191" s="6">
        <v>90</v>
      </c>
    </row>
    <row r="192" spans="1:3" x14ac:dyDescent="0.3">
      <c r="A192" s="4">
        <v>1117</v>
      </c>
      <c r="B192" s="6" t="s">
        <v>35</v>
      </c>
      <c r="C192" s="6">
        <v>90.2</v>
      </c>
    </row>
    <row r="193" spans="1:3" x14ac:dyDescent="0.3">
      <c r="A193" s="4">
        <v>538</v>
      </c>
      <c r="B193" s="6" t="s">
        <v>35</v>
      </c>
      <c r="C193" s="6">
        <v>90.3</v>
      </c>
    </row>
    <row r="194" spans="1:3" x14ac:dyDescent="0.3">
      <c r="A194" s="4">
        <v>181</v>
      </c>
      <c r="B194" s="6" t="s">
        <v>35</v>
      </c>
      <c r="C194" s="6">
        <v>90.5</v>
      </c>
    </row>
    <row r="195" spans="1:3" x14ac:dyDescent="0.3">
      <c r="A195" s="4">
        <v>358</v>
      </c>
      <c r="B195" s="6" t="s">
        <v>35</v>
      </c>
      <c r="C195" s="6">
        <v>91.3</v>
      </c>
    </row>
    <row r="196" spans="1:3" x14ac:dyDescent="0.3">
      <c r="A196" s="4">
        <v>516</v>
      </c>
      <c r="B196" s="6" t="s">
        <v>35</v>
      </c>
      <c r="C196" s="6">
        <v>91.8</v>
      </c>
    </row>
    <row r="197" spans="1:3" x14ac:dyDescent="0.3">
      <c r="A197" s="4">
        <v>544</v>
      </c>
      <c r="B197" s="6" t="s">
        <v>35</v>
      </c>
      <c r="C197" s="6">
        <v>92.1</v>
      </c>
    </row>
    <row r="198" spans="1:3" x14ac:dyDescent="0.3">
      <c r="A198" s="4">
        <v>642</v>
      </c>
      <c r="B198" s="6" t="s">
        <v>35</v>
      </c>
      <c r="C198" s="6">
        <v>92.5</v>
      </c>
    </row>
    <row r="199" spans="1:3" x14ac:dyDescent="0.3">
      <c r="A199" s="4">
        <v>844</v>
      </c>
      <c r="B199" s="6" t="s">
        <v>35</v>
      </c>
      <c r="C199" s="6">
        <v>93</v>
      </c>
    </row>
    <row r="200" spans="1:3" x14ac:dyDescent="0.3">
      <c r="A200" s="4">
        <v>378</v>
      </c>
      <c r="B200" s="6" t="s">
        <v>35</v>
      </c>
      <c r="C200" s="6">
        <v>93.6</v>
      </c>
    </row>
    <row r="201" spans="1:3" x14ac:dyDescent="0.3">
      <c r="A201" s="4">
        <v>390</v>
      </c>
      <c r="B201" s="6" t="s">
        <v>35</v>
      </c>
      <c r="C201" s="6">
        <v>93.6</v>
      </c>
    </row>
    <row r="202" spans="1:3" x14ac:dyDescent="0.3">
      <c r="A202" s="4">
        <v>885</v>
      </c>
      <c r="B202" s="6" t="s">
        <v>35</v>
      </c>
      <c r="C202" s="6">
        <v>93.7</v>
      </c>
    </row>
    <row r="203" spans="1:3" x14ac:dyDescent="0.3">
      <c r="A203" s="20">
        <v>411</v>
      </c>
      <c r="B203" s="21" t="s">
        <v>35</v>
      </c>
      <c r="C203" s="21">
        <v>97</v>
      </c>
    </row>
    <row r="204" spans="1:3" x14ac:dyDescent="0.3">
      <c r="A204" s="20">
        <v>1083</v>
      </c>
      <c r="B204" s="21" t="s">
        <v>35</v>
      </c>
      <c r="C204" s="21">
        <v>108.3</v>
      </c>
    </row>
    <row r="205" spans="1:3" x14ac:dyDescent="0.3">
      <c r="A205" s="22">
        <v>610</v>
      </c>
      <c r="B205" s="23" t="s">
        <v>44</v>
      </c>
      <c r="C205" s="23">
        <v>15.2</v>
      </c>
    </row>
    <row r="206" spans="1:3" x14ac:dyDescent="0.3">
      <c r="A206" s="22">
        <v>808</v>
      </c>
      <c r="B206" s="23" t="s">
        <v>44</v>
      </c>
      <c r="C206" s="23">
        <v>15.7</v>
      </c>
    </row>
    <row r="207" spans="1:3" x14ac:dyDescent="0.3">
      <c r="A207" s="22">
        <v>839</v>
      </c>
      <c r="B207" s="23" t="s">
        <v>44</v>
      </c>
      <c r="C207" s="23">
        <v>16.100000000000001</v>
      </c>
    </row>
    <row r="208" spans="1:3" x14ac:dyDescent="0.3">
      <c r="A208" s="22">
        <v>609</v>
      </c>
      <c r="B208" s="23" t="s">
        <v>44</v>
      </c>
      <c r="C208" s="23">
        <v>23</v>
      </c>
    </row>
    <row r="209" spans="1:3" x14ac:dyDescent="0.3">
      <c r="A209" s="18">
        <v>488</v>
      </c>
      <c r="B209" s="19" t="s">
        <v>44</v>
      </c>
      <c r="C209" s="19">
        <v>35</v>
      </c>
    </row>
    <row r="210" spans="1:3" x14ac:dyDescent="0.3">
      <c r="A210" s="18">
        <v>542</v>
      </c>
      <c r="B210" s="19" t="s">
        <v>44</v>
      </c>
      <c r="C210" s="19">
        <v>36.799999999999997</v>
      </c>
    </row>
    <row r="211" spans="1:3" x14ac:dyDescent="0.3">
      <c r="A211" s="18">
        <v>551</v>
      </c>
      <c r="B211" s="19" t="s">
        <v>44</v>
      </c>
      <c r="C211" s="19">
        <v>36.9</v>
      </c>
    </row>
    <row r="212" spans="1:3" x14ac:dyDescent="0.3">
      <c r="A212" s="4">
        <v>495</v>
      </c>
      <c r="B212" s="6" t="s">
        <v>44</v>
      </c>
      <c r="C212" s="6">
        <v>40</v>
      </c>
    </row>
    <row r="213" spans="1:3" x14ac:dyDescent="0.3">
      <c r="A213" s="4">
        <v>506</v>
      </c>
      <c r="B213" s="6" t="s">
        <v>44</v>
      </c>
      <c r="C213" s="6">
        <v>41.6</v>
      </c>
    </row>
    <row r="214" spans="1:3" x14ac:dyDescent="0.3">
      <c r="A214" s="4">
        <v>659</v>
      </c>
      <c r="B214" s="6" t="s">
        <v>44</v>
      </c>
      <c r="C214" s="6">
        <v>41.9</v>
      </c>
    </row>
    <row r="215" spans="1:3" x14ac:dyDescent="0.3">
      <c r="A215" s="4">
        <v>497</v>
      </c>
      <c r="B215" s="6" t="s">
        <v>44</v>
      </c>
      <c r="C215" s="6">
        <v>42.7</v>
      </c>
    </row>
    <row r="216" spans="1:3" x14ac:dyDescent="0.3">
      <c r="A216" s="4">
        <v>265</v>
      </c>
      <c r="B216" s="6" t="s">
        <v>44</v>
      </c>
      <c r="C216" s="6">
        <v>42.8</v>
      </c>
    </row>
    <row r="217" spans="1:3" x14ac:dyDescent="0.3">
      <c r="A217" s="4">
        <v>1062</v>
      </c>
      <c r="B217" s="6" t="s">
        <v>44</v>
      </c>
      <c r="C217" s="6">
        <v>43.1</v>
      </c>
    </row>
    <row r="218" spans="1:3" x14ac:dyDescent="0.3">
      <c r="A218" s="4">
        <v>494</v>
      </c>
      <c r="B218" s="6" t="s">
        <v>44</v>
      </c>
      <c r="C218" s="6">
        <v>43.5</v>
      </c>
    </row>
    <row r="219" spans="1:3" x14ac:dyDescent="0.3">
      <c r="A219" s="4">
        <v>554</v>
      </c>
      <c r="B219" s="6" t="s">
        <v>44</v>
      </c>
      <c r="C219" s="6">
        <v>43.7</v>
      </c>
    </row>
    <row r="220" spans="1:3" x14ac:dyDescent="0.3">
      <c r="A220" s="4">
        <v>1063</v>
      </c>
      <c r="B220" s="6" t="s">
        <v>44</v>
      </c>
      <c r="C220" s="6">
        <v>44.2</v>
      </c>
    </row>
    <row r="221" spans="1:3" x14ac:dyDescent="0.3">
      <c r="A221" s="4">
        <v>529</v>
      </c>
      <c r="B221" s="6" t="s">
        <v>44</v>
      </c>
      <c r="C221" s="6">
        <v>44.5</v>
      </c>
    </row>
    <row r="222" spans="1:3" x14ac:dyDescent="0.3">
      <c r="A222" s="4">
        <v>527</v>
      </c>
      <c r="B222" s="6" t="s">
        <v>44</v>
      </c>
      <c r="C222" s="6">
        <v>44.6</v>
      </c>
    </row>
    <row r="223" spans="1:3" x14ac:dyDescent="0.3">
      <c r="A223" s="4">
        <v>459</v>
      </c>
      <c r="B223" s="6" t="s">
        <v>44</v>
      </c>
      <c r="C223" s="6">
        <v>44.7</v>
      </c>
    </row>
    <row r="224" spans="1:3" x14ac:dyDescent="0.3">
      <c r="A224" s="4">
        <v>1000</v>
      </c>
      <c r="B224" s="6" t="s">
        <v>44</v>
      </c>
      <c r="C224" s="6">
        <v>45.1</v>
      </c>
    </row>
    <row r="225" spans="1:3" x14ac:dyDescent="0.3">
      <c r="A225" s="4">
        <v>525</v>
      </c>
      <c r="B225" s="6" t="s">
        <v>44</v>
      </c>
      <c r="C225" s="6">
        <v>45.3</v>
      </c>
    </row>
    <row r="226" spans="1:3" x14ac:dyDescent="0.3">
      <c r="A226" s="4">
        <v>513</v>
      </c>
      <c r="B226" s="6" t="s">
        <v>44</v>
      </c>
      <c r="C226" s="6">
        <v>45.6</v>
      </c>
    </row>
    <row r="227" spans="1:3" x14ac:dyDescent="0.3">
      <c r="A227" s="4">
        <v>499</v>
      </c>
      <c r="B227" s="6" t="s">
        <v>44</v>
      </c>
      <c r="C227" s="6">
        <v>45.9</v>
      </c>
    </row>
    <row r="228" spans="1:3" x14ac:dyDescent="0.3">
      <c r="A228" s="4">
        <v>534</v>
      </c>
      <c r="B228" s="6" t="s">
        <v>44</v>
      </c>
      <c r="C228" s="6">
        <v>46</v>
      </c>
    </row>
    <row r="229" spans="1:3" x14ac:dyDescent="0.3">
      <c r="A229" s="4">
        <v>555</v>
      </c>
      <c r="B229" s="6" t="s">
        <v>44</v>
      </c>
      <c r="C229" s="6">
        <v>46.2</v>
      </c>
    </row>
    <row r="230" spans="1:3" x14ac:dyDescent="0.3">
      <c r="A230" s="4">
        <v>553</v>
      </c>
      <c r="B230" s="6" t="s">
        <v>44</v>
      </c>
      <c r="C230" s="6">
        <v>46.5</v>
      </c>
    </row>
    <row r="231" spans="1:3" x14ac:dyDescent="0.3">
      <c r="A231" s="4">
        <v>1061</v>
      </c>
      <c r="B231" s="6" t="s">
        <v>44</v>
      </c>
      <c r="C231" s="6">
        <v>46.5</v>
      </c>
    </row>
    <row r="232" spans="1:3" x14ac:dyDescent="0.3">
      <c r="A232" s="4">
        <v>207</v>
      </c>
      <c r="B232" s="6" t="s">
        <v>44</v>
      </c>
      <c r="C232" s="6">
        <v>47</v>
      </c>
    </row>
    <row r="233" spans="1:3" x14ac:dyDescent="0.3">
      <c r="A233" s="4">
        <v>461</v>
      </c>
      <c r="B233" s="6" t="s">
        <v>44</v>
      </c>
      <c r="C233" s="6">
        <v>47.2</v>
      </c>
    </row>
    <row r="234" spans="1:3" x14ac:dyDescent="0.3">
      <c r="A234" s="4">
        <v>682</v>
      </c>
      <c r="B234" s="6" t="s">
        <v>44</v>
      </c>
      <c r="C234" s="6">
        <v>47.3</v>
      </c>
    </row>
    <row r="235" spans="1:3" x14ac:dyDescent="0.3">
      <c r="A235" s="4">
        <v>1001</v>
      </c>
      <c r="B235" s="6" t="s">
        <v>44</v>
      </c>
      <c r="C235" s="6">
        <v>47.7</v>
      </c>
    </row>
    <row r="236" spans="1:3" x14ac:dyDescent="0.3">
      <c r="A236" s="4">
        <v>482</v>
      </c>
      <c r="B236" s="6" t="s">
        <v>44</v>
      </c>
      <c r="C236" s="6">
        <v>47.7</v>
      </c>
    </row>
    <row r="237" spans="1:3" x14ac:dyDescent="0.3">
      <c r="A237" s="4">
        <v>556</v>
      </c>
      <c r="B237" s="6" t="s">
        <v>44</v>
      </c>
      <c r="C237" s="6">
        <v>47.9</v>
      </c>
    </row>
    <row r="238" spans="1:3" x14ac:dyDescent="0.3">
      <c r="A238" s="4">
        <v>595</v>
      </c>
      <c r="B238" s="6" t="s">
        <v>44</v>
      </c>
      <c r="C238" s="6">
        <v>47.9</v>
      </c>
    </row>
    <row r="239" spans="1:3" x14ac:dyDescent="0.3">
      <c r="A239" s="4">
        <v>548</v>
      </c>
      <c r="B239" s="6" t="s">
        <v>44</v>
      </c>
      <c r="C239" s="6">
        <v>48.5</v>
      </c>
    </row>
    <row r="240" spans="1:3" x14ac:dyDescent="0.3">
      <c r="A240" s="4">
        <v>1003</v>
      </c>
      <c r="B240" s="6" t="s">
        <v>44</v>
      </c>
      <c r="C240" s="6">
        <v>48.7</v>
      </c>
    </row>
    <row r="241" spans="1:3" x14ac:dyDescent="0.3">
      <c r="A241" s="4">
        <v>662</v>
      </c>
      <c r="B241" s="6" t="s">
        <v>44</v>
      </c>
      <c r="C241" s="6">
        <v>48.8</v>
      </c>
    </row>
    <row r="242" spans="1:3" x14ac:dyDescent="0.3">
      <c r="A242" s="4">
        <v>509</v>
      </c>
      <c r="B242" s="6" t="s">
        <v>44</v>
      </c>
      <c r="C242" s="6">
        <v>49.1</v>
      </c>
    </row>
    <row r="243" spans="1:3" x14ac:dyDescent="0.3">
      <c r="A243" s="4">
        <v>630</v>
      </c>
      <c r="B243" s="6" t="s">
        <v>44</v>
      </c>
      <c r="C243" s="6">
        <v>49.1</v>
      </c>
    </row>
    <row r="244" spans="1:3" x14ac:dyDescent="0.3">
      <c r="A244" s="4">
        <v>464</v>
      </c>
      <c r="B244" s="6" t="s">
        <v>44</v>
      </c>
      <c r="C244" s="6">
        <v>49.2</v>
      </c>
    </row>
    <row r="245" spans="1:3" x14ac:dyDescent="0.3">
      <c r="A245" s="4">
        <v>486</v>
      </c>
      <c r="B245" s="6" t="s">
        <v>44</v>
      </c>
      <c r="C245" s="6">
        <v>49.4</v>
      </c>
    </row>
    <row r="246" spans="1:3" x14ac:dyDescent="0.3">
      <c r="A246" s="4">
        <v>1100</v>
      </c>
      <c r="B246" s="6" t="s">
        <v>44</v>
      </c>
      <c r="C246" s="6">
        <v>49.4</v>
      </c>
    </row>
    <row r="247" spans="1:3" x14ac:dyDescent="0.3">
      <c r="A247" s="4">
        <v>476</v>
      </c>
      <c r="B247" s="6" t="s">
        <v>44</v>
      </c>
      <c r="C247" s="6">
        <v>49.4</v>
      </c>
    </row>
    <row r="248" spans="1:3" x14ac:dyDescent="0.3">
      <c r="A248" s="4">
        <v>1006</v>
      </c>
      <c r="B248" s="6" t="s">
        <v>44</v>
      </c>
      <c r="C248" s="6">
        <v>49.8</v>
      </c>
    </row>
    <row r="249" spans="1:3" x14ac:dyDescent="0.3">
      <c r="A249" s="4">
        <v>621</v>
      </c>
      <c r="B249" s="6" t="s">
        <v>44</v>
      </c>
      <c r="C249" s="6">
        <v>49.8</v>
      </c>
    </row>
    <row r="250" spans="1:3" x14ac:dyDescent="0.3">
      <c r="A250" s="4">
        <v>485</v>
      </c>
      <c r="B250" s="6" t="s">
        <v>44</v>
      </c>
      <c r="C250" s="6">
        <v>49.9</v>
      </c>
    </row>
    <row r="251" spans="1:3" x14ac:dyDescent="0.3">
      <c r="A251" s="4">
        <v>1004</v>
      </c>
      <c r="B251" s="6" t="s">
        <v>44</v>
      </c>
      <c r="C251" s="6">
        <v>49.9</v>
      </c>
    </row>
    <row r="252" spans="1:3" x14ac:dyDescent="0.3">
      <c r="A252" s="4">
        <v>858</v>
      </c>
      <c r="B252" s="6" t="s">
        <v>44</v>
      </c>
      <c r="C252" s="6">
        <v>51</v>
      </c>
    </row>
    <row r="253" spans="1:3" x14ac:dyDescent="0.3">
      <c r="A253" s="4">
        <v>1064</v>
      </c>
      <c r="B253" s="6" t="s">
        <v>44</v>
      </c>
      <c r="C253" s="6">
        <v>51</v>
      </c>
    </row>
    <row r="254" spans="1:3" x14ac:dyDescent="0.3">
      <c r="A254" s="4">
        <v>465</v>
      </c>
      <c r="B254" s="6" t="s">
        <v>44</v>
      </c>
      <c r="C254" s="6">
        <v>51.1</v>
      </c>
    </row>
    <row r="255" spans="1:3" x14ac:dyDescent="0.3">
      <c r="A255" s="4">
        <v>530</v>
      </c>
      <c r="B255" s="6" t="s">
        <v>44</v>
      </c>
      <c r="C255" s="6">
        <v>51.1</v>
      </c>
    </row>
    <row r="256" spans="1:3" x14ac:dyDescent="0.3">
      <c r="A256" s="4">
        <v>1054</v>
      </c>
      <c r="B256" s="6" t="s">
        <v>44</v>
      </c>
      <c r="C256" s="6">
        <v>51.5</v>
      </c>
    </row>
    <row r="257" spans="1:3" x14ac:dyDescent="0.3">
      <c r="A257" s="4">
        <v>510</v>
      </c>
      <c r="B257" s="6" t="s">
        <v>44</v>
      </c>
      <c r="C257" s="6">
        <v>51.5</v>
      </c>
    </row>
    <row r="258" spans="1:3" x14ac:dyDescent="0.3">
      <c r="A258" s="4">
        <v>359</v>
      </c>
      <c r="B258" s="6" t="s">
        <v>44</v>
      </c>
      <c r="C258" s="6">
        <v>51.9</v>
      </c>
    </row>
    <row r="259" spans="1:3" x14ac:dyDescent="0.3">
      <c r="A259" s="4">
        <v>518</v>
      </c>
      <c r="B259" s="6" t="s">
        <v>44</v>
      </c>
      <c r="C259" s="6">
        <v>51.9</v>
      </c>
    </row>
    <row r="260" spans="1:3" x14ac:dyDescent="0.3">
      <c r="A260" s="4">
        <v>248</v>
      </c>
      <c r="B260" s="6" t="s">
        <v>44</v>
      </c>
      <c r="C260" s="6">
        <v>52</v>
      </c>
    </row>
    <row r="261" spans="1:3" x14ac:dyDescent="0.3">
      <c r="A261" s="4">
        <v>463</v>
      </c>
      <c r="B261" s="6" t="s">
        <v>44</v>
      </c>
      <c r="C261" s="6">
        <v>52.2</v>
      </c>
    </row>
    <row r="262" spans="1:3" x14ac:dyDescent="0.3">
      <c r="A262" s="4">
        <v>232</v>
      </c>
      <c r="B262" s="6" t="s">
        <v>44</v>
      </c>
      <c r="C262" s="6">
        <v>52.3</v>
      </c>
    </row>
    <row r="263" spans="1:3" x14ac:dyDescent="0.3">
      <c r="A263" s="4">
        <v>590</v>
      </c>
      <c r="B263" s="6" t="s">
        <v>44</v>
      </c>
      <c r="C263" s="6">
        <v>52.5</v>
      </c>
    </row>
    <row r="264" spans="1:3" x14ac:dyDescent="0.3">
      <c r="A264" s="4">
        <v>1052</v>
      </c>
      <c r="B264" s="6" t="s">
        <v>44</v>
      </c>
      <c r="C264" s="6">
        <v>52.5</v>
      </c>
    </row>
    <row r="265" spans="1:3" x14ac:dyDescent="0.3">
      <c r="A265" s="4">
        <v>504</v>
      </c>
      <c r="B265" s="6" t="s">
        <v>44</v>
      </c>
      <c r="C265" s="6">
        <v>52.9</v>
      </c>
    </row>
    <row r="266" spans="1:3" x14ac:dyDescent="0.3">
      <c r="A266" s="4">
        <v>360</v>
      </c>
      <c r="B266" s="6" t="s">
        <v>44</v>
      </c>
      <c r="C266" s="6">
        <v>53.1</v>
      </c>
    </row>
    <row r="267" spans="1:3" x14ac:dyDescent="0.3">
      <c r="A267" s="4">
        <v>658</v>
      </c>
      <c r="B267" s="6" t="s">
        <v>44</v>
      </c>
      <c r="C267" s="6">
        <v>53.2</v>
      </c>
    </row>
    <row r="268" spans="1:3" x14ac:dyDescent="0.3">
      <c r="A268" s="4">
        <v>468</v>
      </c>
      <c r="B268" s="6" t="s">
        <v>44</v>
      </c>
      <c r="C268" s="6">
        <v>53.3</v>
      </c>
    </row>
    <row r="269" spans="1:3" x14ac:dyDescent="0.3">
      <c r="A269" s="4">
        <v>528</v>
      </c>
      <c r="B269" s="6" t="s">
        <v>44</v>
      </c>
      <c r="C269" s="6">
        <v>53.5</v>
      </c>
    </row>
    <row r="270" spans="1:3" x14ac:dyDescent="0.3">
      <c r="A270" s="4">
        <v>614</v>
      </c>
      <c r="B270" s="6" t="s">
        <v>44</v>
      </c>
      <c r="C270" s="6">
        <v>53.8</v>
      </c>
    </row>
    <row r="271" spans="1:3" x14ac:dyDescent="0.3">
      <c r="A271" s="4">
        <v>1075</v>
      </c>
      <c r="B271" s="6" t="s">
        <v>44</v>
      </c>
      <c r="C271" s="6">
        <v>53.9</v>
      </c>
    </row>
    <row r="272" spans="1:3" x14ac:dyDescent="0.3">
      <c r="A272" s="4">
        <v>412</v>
      </c>
      <c r="B272" s="6" t="s">
        <v>44</v>
      </c>
      <c r="C272" s="6">
        <v>54.1</v>
      </c>
    </row>
    <row r="273" spans="1:3" x14ac:dyDescent="0.3">
      <c r="A273" s="4">
        <v>304</v>
      </c>
      <c r="B273" s="6" t="s">
        <v>44</v>
      </c>
      <c r="C273" s="6">
        <v>54.3</v>
      </c>
    </row>
    <row r="274" spans="1:3" x14ac:dyDescent="0.3">
      <c r="A274" s="4">
        <v>198</v>
      </c>
      <c r="B274" s="6" t="s">
        <v>44</v>
      </c>
      <c r="C274" s="6">
        <v>54.3</v>
      </c>
    </row>
    <row r="275" spans="1:3" x14ac:dyDescent="0.3">
      <c r="A275" s="4">
        <v>687</v>
      </c>
      <c r="B275" s="6" t="s">
        <v>44</v>
      </c>
      <c r="C275" s="6">
        <v>54.3</v>
      </c>
    </row>
    <row r="276" spans="1:3" x14ac:dyDescent="0.3">
      <c r="A276" s="4">
        <v>310</v>
      </c>
      <c r="B276" s="6" t="s">
        <v>44</v>
      </c>
      <c r="C276" s="6">
        <v>54.4</v>
      </c>
    </row>
    <row r="277" spans="1:3" x14ac:dyDescent="0.3">
      <c r="A277" s="4">
        <v>1009</v>
      </c>
      <c r="B277" s="6" t="s">
        <v>44</v>
      </c>
      <c r="C277" s="6">
        <v>54.5</v>
      </c>
    </row>
    <row r="278" spans="1:3" x14ac:dyDescent="0.3">
      <c r="A278" s="4">
        <v>311</v>
      </c>
      <c r="B278" s="6" t="s">
        <v>44</v>
      </c>
      <c r="C278" s="6">
        <v>55</v>
      </c>
    </row>
    <row r="279" spans="1:3" x14ac:dyDescent="0.3">
      <c r="A279" s="4">
        <v>458</v>
      </c>
      <c r="B279" s="6" t="s">
        <v>44</v>
      </c>
      <c r="C279" s="6">
        <v>55.2</v>
      </c>
    </row>
    <row r="280" spans="1:3" x14ac:dyDescent="0.3">
      <c r="A280" s="4">
        <v>674</v>
      </c>
      <c r="B280" s="6" t="s">
        <v>44</v>
      </c>
      <c r="C280" s="6">
        <v>56</v>
      </c>
    </row>
    <row r="281" spans="1:3" x14ac:dyDescent="0.3">
      <c r="A281" s="4">
        <v>206</v>
      </c>
      <c r="B281" s="6" t="s">
        <v>44</v>
      </c>
      <c r="C281" s="6">
        <v>56.3</v>
      </c>
    </row>
    <row r="282" spans="1:3" x14ac:dyDescent="0.3">
      <c r="A282" s="4">
        <v>998</v>
      </c>
      <c r="B282" s="6" t="s">
        <v>44</v>
      </c>
      <c r="C282" s="6">
        <v>56.6</v>
      </c>
    </row>
    <row r="283" spans="1:3" x14ac:dyDescent="0.3">
      <c r="A283" s="4">
        <v>460</v>
      </c>
      <c r="B283" s="6" t="s">
        <v>44</v>
      </c>
      <c r="C283" s="6">
        <v>56.9</v>
      </c>
    </row>
    <row r="284" spans="1:3" x14ac:dyDescent="0.3">
      <c r="A284" s="4">
        <v>355</v>
      </c>
      <c r="B284" s="6" t="s">
        <v>44</v>
      </c>
      <c r="C284" s="6">
        <v>57</v>
      </c>
    </row>
    <row r="285" spans="1:3" x14ac:dyDescent="0.3">
      <c r="A285" s="4">
        <v>416</v>
      </c>
      <c r="B285" s="6" t="s">
        <v>44</v>
      </c>
      <c r="C285" s="6">
        <v>57</v>
      </c>
    </row>
    <row r="286" spans="1:3" x14ac:dyDescent="0.3">
      <c r="A286" s="4">
        <v>196</v>
      </c>
      <c r="B286" s="6" t="s">
        <v>44</v>
      </c>
      <c r="C286" s="6">
        <v>57.2</v>
      </c>
    </row>
    <row r="287" spans="1:3" x14ac:dyDescent="0.3">
      <c r="A287" s="4">
        <v>245</v>
      </c>
      <c r="B287" s="6" t="s">
        <v>44</v>
      </c>
      <c r="C287" s="6">
        <v>57.3</v>
      </c>
    </row>
    <row r="288" spans="1:3" x14ac:dyDescent="0.3">
      <c r="A288" s="4">
        <v>1070</v>
      </c>
      <c r="B288" s="6" t="s">
        <v>44</v>
      </c>
      <c r="C288" s="6">
        <v>57.3</v>
      </c>
    </row>
    <row r="289" spans="1:3" x14ac:dyDescent="0.3">
      <c r="A289" s="4">
        <v>498</v>
      </c>
      <c r="B289" s="6" t="s">
        <v>44</v>
      </c>
      <c r="C289" s="6">
        <v>57.5</v>
      </c>
    </row>
    <row r="290" spans="1:3" x14ac:dyDescent="0.3">
      <c r="A290" s="4">
        <v>539</v>
      </c>
      <c r="B290" s="6" t="s">
        <v>44</v>
      </c>
      <c r="C290" s="6">
        <v>57.6</v>
      </c>
    </row>
    <row r="291" spans="1:3" x14ac:dyDescent="0.3">
      <c r="A291" s="4">
        <v>852</v>
      </c>
      <c r="B291" s="6" t="s">
        <v>44</v>
      </c>
      <c r="C291" s="6">
        <v>58</v>
      </c>
    </row>
    <row r="292" spans="1:3" x14ac:dyDescent="0.3">
      <c r="A292" s="4">
        <v>300</v>
      </c>
      <c r="B292" s="6" t="s">
        <v>44</v>
      </c>
      <c r="C292" s="6">
        <v>58</v>
      </c>
    </row>
    <row r="293" spans="1:3" x14ac:dyDescent="0.3">
      <c r="A293" s="4">
        <v>386</v>
      </c>
      <c r="B293" s="6" t="s">
        <v>44</v>
      </c>
      <c r="C293" s="6">
        <v>58.3</v>
      </c>
    </row>
    <row r="294" spans="1:3" x14ac:dyDescent="0.3">
      <c r="A294" s="4">
        <v>1018</v>
      </c>
      <c r="B294" s="6" t="s">
        <v>44</v>
      </c>
      <c r="C294" s="6">
        <v>58.5</v>
      </c>
    </row>
    <row r="295" spans="1:3" x14ac:dyDescent="0.3">
      <c r="A295" s="4">
        <v>299</v>
      </c>
      <c r="B295" s="6" t="s">
        <v>44</v>
      </c>
      <c r="C295" s="6">
        <v>58.7</v>
      </c>
    </row>
    <row r="296" spans="1:3" x14ac:dyDescent="0.3">
      <c r="A296" s="4">
        <v>616</v>
      </c>
      <c r="B296" s="6" t="s">
        <v>44</v>
      </c>
      <c r="C296" s="6">
        <v>58.9</v>
      </c>
    </row>
    <row r="297" spans="1:3" x14ac:dyDescent="0.3">
      <c r="A297" s="4">
        <v>246</v>
      </c>
      <c r="B297" s="6" t="s">
        <v>44</v>
      </c>
      <c r="C297" s="6">
        <v>59</v>
      </c>
    </row>
    <row r="298" spans="1:3" x14ac:dyDescent="0.3">
      <c r="A298" s="4">
        <v>481</v>
      </c>
      <c r="B298" s="6" t="s">
        <v>44</v>
      </c>
      <c r="C298" s="6">
        <v>59.1</v>
      </c>
    </row>
    <row r="299" spans="1:3" x14ac:dyDescent="0.3">
      <c r="A299" s="4">
        <v>619</v>
      </c>
      <c r="B299" s="6" t="s">
        <v>44</v>
      </c>
      <c r="C299" s="6">
        <v>59.4</v>
      </c>
    </row>
    <row r="300" spans="1:3" x14ac:dyDescent="0.3">
      <c r="A300" s="4">
        <v>1058</v>
      </c>
      <c r="B300" s="6" t="s">
        <v>44</v>
      </c>
      <c r="C300" s="6">
        <v>59.5</v>
      </c>
    </row>
    <row r="301" spans="1:3" x14ac:dyDescent="0.3">
      <c r="A301" s="4">
        <v>296</v>
      </c>
      <c r="B301" s="6" t="s">
        <v>44</v>
      </c>
      <c r="C301" s="6">
        <v>59.5</v>
      </c>
    </row>
    <row r="302" spans="1:3" x14ac:dyDescent="0.3">
      <c r="A302" s="4">
        <v>1010</v>
      </c>
      <c r="B302" s="6" t="s">
        <v>44</v>
      </c>
      <c r="C302" s="6">
        <v>59.5</v>
      </c>
    </row>
    <row r="303" spans="1:3" x14ac:dyDescent="0.3">
      <c r="A303" s="4">
        <v>339</v>
      </c>
      <c r="B303" s="6" t="s">
        <v>44</v>
      </c>
      <c r="C303" s="6">
        <v>59.5</v>
      </c>
    </row>
    <row r="304" spans="1:3" x14ac:dyDescent="0.3">
      <c r="A304" s="4">
        <v>1030</v>
      </c>
      <c r="B304" s="6" t="s">
        <v>44</v>
      </c>
      <c r="C304" s="6">
        <v>59.6</v>
      </c>
    </row>
    <row r="305" spans="1:3" x14ac:dyDescent="0.3">
      <c r="A305" s="4">
        <v>645</v>
      </c>
      <c r="B305" s="6" t="s">
        <v>44</v>
      </c>
      <c r="C305" s="6">
        <v>59.7</v>
      </c>
    </row>
    <row r="306" spans="1:3" x14ac:dyDescent="0.3">
      <c r="A306" s="4">
        <v>626</v>
      </c>
      <c r="B306" s="6" t="s">
        <v>44</v>
      </c>
      <c r="C306" s="6">
        <v>59.8</v>
      </c>
    </row>
    <row r="307" spans="1:3" x14ac:dyDescent="0.3">
      <c r="A307" s="4">
        <v>466</v>
      </c>
      <c r="B307" s="6" t="s">
        <v>44</v>
      </c>
      <c r="C307" s="6">
        <v>59.8</v>
      </c>
    </row>
    <row r="308" spans="1:3" x14ac:dyDescent="0.3">
      <c r="A308" s="4">
        <v>164</v>
      </c>
      <c r="B308" s="6" t="s">
        <v>44</v>
      </c>
      <c r="C308" s="6">
        <v>60</v>
      </c>
    </row>
    <row r="309" spans="1:3" x14ac:dyDescent="0.3">
      <c r="A309" s="4">
        <v>410</v>
      </c>
      <c r="B309" s="6" t="s">
        <v>44</v>
      </c>
      <c r="C309" s="6">
        <v>60</v>
      </c>
    </row>
    <row r="310" spans="1:3" x14ac:dyDescent="0.3">
      <c r="A310" s="4">
        <v>546</v>
      </c>
      <c r="B310" s="6" t="s">
        <v>44</v>
      </c>
      <c r="C310" s="6">
        <v>60.1</v>
      </c>
    </row>
    <row r="311" spans="1:3" x14ac:dyDescent="0.3">
      <c r="A311" s="4">
        <v>333</v>
      </c>
      <c r="B311" s="6" t="s">
        <v>44</v>
      </c>
      <c r="C311" s="6">
        <v>60.2</v>
      </c>
    </row>
    <row r="312" spans="1:3" x14ac:dyDescent="0.3">
      <c r="A312" s="4">
        <v>264</v>
      </c>
      <c r="B312" s="6" t="s">
        <v>44</v>
      </c>
      <c r="C312" s="6">
        <v>60.2</v>
      </c>
    </row>
    <row r="313" spans="1:3" x14ac:dyDescent="0.3">
      <c r="A313" s="4">
        <v>628</v>
      </c>
      <c r="B313" s="6" t="s">
        <v>44</v>
      </c>
      <c r="C313" s="6">
        <v>60.5</v>
      </c>
    </row>
    <row r="314" spans="1:3" x14ac:dyDescent="0.3">
      <c r="A314" s="4">
        <v>990</v>
      </c>
      <c r="B314" s="6" t="s">
        <v>44</v>
      </c>
      <c r="C314" s="6">
        <v>60.6</v>
      </c>
    </row>
    <row r="315" spans="1:3" x14ac:dyDescent="0.3">
      <c r="A315" s="4">
        <v>322</v>
      </c>
      <c r="B315" s="6" t="s">
        <v>44</v>
      </c>
      <c r="C315" s="6">
        <v>60.7</v>
      </c>
    </row>
    <row r="316" spans="1:3" x14ac:dyDescent="0.3">
      <c r="A316" s="4">
        <v>220</v>
      </c>
      <c r="B316" s="6" t="s">
        <v>44</v>
      </c>
      <c r="C316" s="6">
        <v>60.8</v>
      </c>
    </row>
    <row r="317" spans="1:3" x14ac:dyDescent="0.3">
      <c r="A317" s="4">
        <v>480</v>
      </c>
      <c r="B317" s="6" t="s">
        <v>44</v>
      </c>
      <c r="C317" s="6">
        <v>60.9</v>
      </c>
    </row>
    <row r="318" spans="1:3" x14ac:dyDescent="0.3">
      <c r="A318" s="4">
        <v>309</v>
      </c>
      <c r="B318" s="6" t="s">
        <v>44</v>
      </c>
      <c r="C318" s="6">
        <v>61</v>
      </c>
    </row>
    <row r="319" spans="1:3" x14ac:dyDescent="0.3">
      <c r="A319" s="4">
        <v>851</v>
      </c>
      <c r="B319" s="6" t="s">
        <v>44</v>
      </c>
      <c r="C319" s="6">
        <v>61</v>
      </c>
    </row>
    <row r="320" spans="1:3" x14ac:dyDescent="0.3">
      <c r="A320" s="4">
        <v>325</v>
      </c>
      <c r="B320" s="6" t="s">
        <v>44</v>
      </c>
      <c r="C320" s="6">
        <v>61</v>
      </c>
    </row>
    <row r="321" spans="1:3" x14ac:dyDescent="0.3">
      <c r="A321" s="4">
        <v>1087</v>
      </c>
      <c r="B321" s="6" t="s">
        <v>44</v>
      </c>
      <c r="C321" s="6">
        <v>61</v>
      </c>
    </row>
    <row r="322" spans="1:3" x14ac:dyDescent="0.3">
      <c r="A322" s="4">
        <v>677</v>
      </c>
      <c r="B322" s="6" t="s">
        <v>44</v>
      </c>
      <c r="C322" s="6">
        <v>61.1</v>
      </c>
    </row>
    <row r="323" spans="1:3" x14ac:dyDescent="0.3">
      <c r="A323" s="4">
        <v>625</v>
      </c>
      <c r="B323" s="6" t="s">
        <v>44</v>
      </c>
      <c r="C323" s="6">
        <v>61.2</v>
      </c>
    </row>
    <row r="324" spans="1:3" x14ac:dyDescent="0.3">
      <c r="A324" s="4">
        <v>1126</v>
      </c>
      <c r="B324" s="6" t="s">
        <v>44</v>
      </c>
      <c r="C324" s="6">
        <v>61.4</v>
      </c>
    </row>
    <row r="325" spans="1:3" x14ac:dyDescent="0.3">
      <c r="A325" s="4">
        <v>340</v>
      </c>
      <c r="B325" s="6" t="s">
        <v>44</v>
      </c>
      <c r="C325" s="6">
        <v>61.4</v>
      </c>
    </row>
    <row r="326" spans="1:3" x14ac:dyDescent="0.3">
      <c r="A326" s="4">
        <v>618</v>
      </c>
      <c r="B326" s="6" t="s">
        <v>44</v>
      </c>
      <c r="C326" s="6">
        <v>61.5</v>
      </c>
    </row>
    <row r="327" spans="1:3" x14ac:dyDescent="0.3">
      <c r="A327" s="4">
        <v>190</v>
      </c>
      <c r="B327" s="6" t="s">
        <v>44</v>
      </c>
      <c r="C327" s="6">
        <v>61.5</v>
      </c>
    </row>
    <row r="328" spans="1:3" x14ac:dyDescent="0.3">
      <c r="A328" s="4">
        <v>624</v>
      </c>
      <c r="B328" s="6" t="s">
        <v>44</v>
      </c>
      <c r="C328" s="6">
        <v>61.5</v>
      </c>
    </row>
    <row r="329" spans="1:3" x14ac:dyDescent="0.3">
      <c r="A329" s="4">
        <v>160</v>
      </c>
      <c r="B329" s="6" t="s">
        <v>44</v>
      </c>
      <c r="C329" s="6">
        <v>61.5</v>
      </c>
    </row>
    <row r="330" spans="1:3" x14ac:dyDescent="0.3">
      <c r="A330" s="4">
        <v>336</v>
      </c>
      <c r="B330" s="6" t="s">
        <v>44</v>
      </c>
      <c r="C330" s="6">
        <v>61.5</v>
      </c>
    </row>
    <row r="331" spans="1:3" x14ac:dyDescent="0.3">
      <c r="A331" s="4">
        <v>1023</v>
      </c>
      <c r="B331" s="6" t="s">
        <v>44</v>
      </c>
      <c r="C331" s="6">
        <v>61.5</v>
      </c>
    </row>
    <row r="332" spans="1:3" x14ac:dyDescent="0.3">
      <c r="A332" s="4">
        <v>588</v>
      </c>
      <c r="B332" s="6" t="s">
        <v>44</v>
      </c>
      <c r="C332" s="6">
        <v>61.8</v>
      </c>
    </row>
    <row r="333" spans="1:3" x14ac:dyDescent="0.3">
      <c r="A333" s="4">
        <v>696</v>
      </c>
      <c r="B333" s="6" t="s">
        <v>44</v>
      </c>
      <c r="C333" s="6">
        <v>61.9</v>
      </c>
    </row>
    <row r="334" spans="1:3" x14ac:dyDescent="0.3">
      <c r="A334" s="4">
        <v>383</v>
      </c>
      <c r="B334" s="6" t="s">
        <v>44</v>
      </c>
      <c r="C334" s="6">
        <v>62</v>
      </c>
    </row>
    <row r="335" spans="1:3" x14ac:dyDescent="0.3">
      <c r="A335" s="4">
        <v>671</v>
      </c>
      <c r="B335" s="6" t="s">
        <v>44</v>
      </c>
      <c r="C335" s="6">
        <v>62</v>
      </c>
    </row>
    <row r="336" spans="1:3" x14ac:dyDescent="0.3">
      <c r="A336" s="4">
        <v>484</v>
      </c>
      <c r="B336" s="6" t="s">
        <v>44</v>
      </c>
      <c r="C336" s="6">
        <v>62</v>
      </c>
    </row>
    <row r="337" spans="1:3" x14ac:dyDescent="0.3">
      <c r="A337" s="4">
        <v>991</v>
      </c>
      <c r="B337" s="6" t="s">
        <v>44</v>
      </c>
      <c r="C337" s="6">
        <v>62</v>
      </c>
    </row>
    <row r="338" spans="1:3" x14ac:dyDescent="0.3">
      <c r="A338" s="4">
        <v>318</v>
      </c>
      <c r="B338" s="6" t="s">
        <v>44</v>
      </c>
      <c r="C338" s="6">
        <v>62</v>
      </c>
    </row>
    <row r="339" spans="1:3" x14ac:dyDescent="0.3">
      <c r="A339" s="4">
        <v>511</v>
      </c>
      <c r="B339" s="6" t="s">
        <v>44</v>
      </c>
      <c r="C339" s="6">
        <v>62.1</v>
      </c>
    </row>
    <row r="340" spans="1:3" x14ac:dyDescent="0.3">
      <c r="A340" s="4">
        <v>199</v>
      </c>
      <c r="B340" s="6" t="s">
        <v>44</v>
      </c>
      <c r="C340" s="6">
        <v>62.1</v>
      </c>
    </row>
    <row r="341" spans="1:3" x14ac:dyDescent="0.3">
      <c r="A341" s="4">
        <v>994</v>
      </c>
      <c r="B341" s="6" t="s">
        <v>44</v>
      </c>
      <c r="C341" s="6">
        <v>62.2</v>
      </c>
    </row>
    <row r="342" spans="1:3" x14ac:dyDescent="0.3">
      <c r="A342" s="4">
        <v>379</v>
      </c>
      <c r="B342" s="6" t="s">
        <v>44</v>
      </c>
      <c r="C342" s="6">
        <v>62.2</v>
      </c>
    </row>
    <row r="343" spans="1:3" x14ac:dyDescent="0.3">
      <c r="A343" s="4">
        <v>373</v>
      </c>
      <c r="B343" s="6" t="s">
        <v>44</v>
      </c>
      <c r="C343" s="6">
        <v>62.3</v>
      </c>
    </row>
    <row r="344" spans="1:3" x14ac:dyDescent="0.3">
      <c r="A344" s="4">
        <v>331</v>
      </c>
      <c r="B344" s="6" t="s">
        <v>44</v>
      </c>
      <c r="C344" s="6">
        <v>62.4</v>
      </c>
    </row>
    <row r="345" spans="1:3" x14ac:dyDescent="0.3">
      <c r="A345" s="4">
        <v>648</v>
      </c>
      <c r="B345" s="6" t="s">
        <v>44</v>
      </c>
      <c r="C345" s="6">
        <v>62.4</v>
      </c>
    </row>
    <row r="346" spans="1:3" x14ac:dyDescent="0.3">
      <c r="A346" s="4">
        <v>995</v>
      </c>
      <c r="B346" s="6" t="s">
        <v>44</v>
      </c>
      <c r="C346" s="6">
        <v>62.5</v>
      </c>
    </row>
    <row r="347" spans="1:3" x14ac:dyDescent="0.3">
      <c r="A347" s="4">
        <v>342</v>
      </c>
      <c r="B347" s="6" t="s">
        <v>44</v>
      </c>
      <c r="C347" s="6">
        <v>62.5</v>
      </c>
    </row>
    <row r="348" spans="1:3" x14ac:dyDescent="0.3">
      <c r="A348" s="4">
        <v>996</v>
      </c>
      <c r="B348" s="6" t="s">
        <v>44</v>
      </c>
      <c r="C348" s="6">
        <v>62.6</v>
      </c>
    </row>
    <row r="349" spans="1:3" x14ac:dyDescent="0.3">
      <c r="A349" s="4">
        <v>1020</v>
      </c>
      <c r="B349" s="6" t="s">
        <v>44</v>
      </c>
      <c r="C349" s="6">
        <v>62.7</v>
      </c>
    </row>
    <row r="350" spans="1:3" x14ac:dyDescent="0.3">
      <c r="A350" s="4">
        <v>231</v>
      </c>
      <c r="B350" s="6" t="s">
        <v>44</v>
      </c>
      <c r="C350" s="6">
        <v>62.9</v>
      </c>
    </row>
    <row r="351" spans="1:3" x14ac:dyDescent="0.3">
      <c r="A351" s="4">
        <v>636</v>
      </c>
      <c r="B351" s="6" t="s">
        <v>44</v>
      </c>
      <c r="C351" s="6">
        <v>62.9</v>
      </c>
    </row>
    <row r="352" spans="1:3" x14ac:dyDescent="0.3">
      <c r="A352" s="4">
        <v>678</v>
      </c>
      <c r="B352" s="6" t="s">
        <v>44</v>
      </c>
      <c r="C352" s="6">
        <v>63</v>
      </c>
    </row>
    <row r="353" spans="1:3" x14ac:dyDescent="0.3">
      <c r="A353" s="4">
        <v>1152</v>
      </c>
      <c r="B353" s="6" t="s">
        <v>44</v>
      </c>
      <c r="C353" s="6">
        <v>63</v>
      </c>
    </row>
    <row r="354" spans="1:3" x14ac:dyDescent="0.3">
      <c r="A354" s="4">
        <v>315</v>
      </c>
      <c r="B354" s="6" t="s">
        <v>44</v>
      </c>
      <c r="C354" s="6">
        <v>63</v>
      </c>
    </row>
    <row r="355" spans="1:3" x14ac:dyDescent="0.3">
      <c r="A355" s="4">
        <v>1101</v>
      </c>
      <c r="B355" s="6" t="s">
        <v>44</v>
      </c>
      <c r="C355" s="6">
        <v>63</v>
      </c>
    </row>
    <row r="356" spans="1:3" x14ac:dyDescent="0.3">
      <c r="A356" s="4">
        <v>456</v>
      </c>
      <c r="B356" s="6" t="s">
        <v>44</v>
      </c>
      <c r="C356" s="6">
        <v>63.1</v>
      </c>
    </row>
    <row r="357" spans="1:3" x14ac:dyDescent="0.3">
      <c r="A357" s="4">
        <v>353</v>
      </c>
      <c r="B357" s="6" t="s">
        <v>44</v>
      </c>
      <c r="C357" s="6">
        <v>63.2</v>
      </c>
    </row>
    <row r="358" spans="1:3" x14ac:dyDescent="0.3">
      <c r="A358" s="4">
        <v>1017</v>
      </c>
      <c r="B358" s="6" t="s">
        <v>44</v>
      </c>
      <c r="C358" s="6">
        <v>63.2</v>
      </c>
    </row>
    <row r="359" spans="1:3" x14ac:dyDescent="0.3">
      <c r="A359" s="4">
        <v>999</v>
      </c>
      <c r="B359" s="6" t="s">
        <v>44</v>
      </c>
      <c r="C359" s="6">
        <v>63.4</v>
      </c>
    </row>
    <row r="360" spans="1:3" x14ac:dyDescent="0.3">
      <c r="A360" s="4">
        <v>363</v>
      </c>
      <c r="B360" s="6" t="s">
        <v>44</v>
      </c>
      <c r="C360" s="6">
        <v>63.4</v>
      </c>
    </row>
    <row r="361" spans="1:3" x14ac:dyDescent="0.3">
      <c r="A361" s="4">
        <v>962</v>
      </c>
      <c r="B361" s="6" t="s">
        <v>44</v>
      </c>
      <c r="C361" s="6">
        <v>63.4</v>
      </c>
    </row>
    <row r="362" spans="1:3" x14ac:dyDescent="0.3">
      <c r="A362" s="4">
        <v>1034</v>
      </c>
      <c r="B362" s="6" t="s">
        <v>44</v>
      </c>
      <c r="C362" s="6">
        <v>63.4</v>
      </c>
    </row>
    <row r="363" spans="1:3" x14ac:dyDescent="0.3">
      <c r="A363" s="4">
        <v>1123</v>
      </c>
      <c r="B363" s="6" t="s">
        <v>44</v>
      </c>
      <c r="C363" s="6">
        <v>63.4</v>
      </c>
    </row>
    <row r="364" spans="1:3" x14ac:dyDescent="0.3">
      <c r="A364" s="4">
        <v>1077</v>
      </c>
      <c r="B364" s="6" t="s">
        <v>44</v>
      </c>
      <c r="C364" s="6">
        <v>63.6</v>
      </c>
    </row>
    <row r="365" spans="1:3" x14ac:dyDescent="0.3">
      <c r="A365" s="4">
        <v>697</v>
      </c>
      <c r="B365" s="6" t="s">
        <v>44</v>
      </c>
      <c r="C365" s="6">
        <v>63.7</v>
      </c>
    </row>
    <row r="366" spans="1:3" x14ac:dyDescent="0.3">
      <c r="A366" s="4">
        <v>487</v>
      </c>
      <c r="B366" s="6" t="s">
        <v>44</v>
      </c>
      <c r="C366" s="6">
        <v>63.7</v>
      </c>
    </row>
    <row r="367" spans="1:3" x14ac:dyDescent="0.3">
      <c r="A367" s="4">
        <v>1039</v>
      </c>
      <c r="B367" s="6" t="s">
        <v>44</v>
      </c>
      <c r="C367" s="6">
        <v>63.8</v>
      </c>
    </row>
    <row r="368" spans="1:3" x14ac:dyDescent="0.3">
      <c r="A368" s="4">
        <v>1022</v>
      </c>
      <c r="B368" s="6" t="s">
        <v>44</v>
      </c>
      <c r="C368" s="6">
        <v>64</v>
      </c>
    </row>
    <row r="369" spans="1:3" x14ac:dyDescent="0.3">
      <c r="A369" s="4">
        <v>672</v>
      </c>
      <c r="B369" s="6" t="s">
        <v>44</v>
      </c>
      <c r="C369" s="6">
        <v>64</v>
      </c>
    </row>
    <row r="370" spans="1:3" x14ac:dyDescent="0.3">
      <c r="A370" s="4">
        <v>308</v>
      </c>
      <c r="B370" s="6" t="s">
        <v>44</v>
      </c>
      <c r="C370" s="6">
        <v>64</v>
      </c>
    </row>
    <row r="371" spans="1:3" x14ac:dyDescent="0.3">
      <c r="A371" s="4">
        <v>992</v>
      </c>
      <c r="B371" s="6" t="s">
        <v>44</v>
      </c>
      <c r="C371" s="6">
        <v>64.099999999999994</v>
      </c>
    </row>
    <row r="372" spans="1:3" x14ac:dyDescent="0.3">
      <c r="A372" s="4">
        <v>1032</v>
      </c>
      <c r="B372" s="6" t="s">
        <v>44</v>
      </c>
      <c r="C372" s="6">
        <v>64.099999999999994</v>
      </c>
    </row>
    <row r="373" spans="1:3" x14ac:dyDescent="0.3">
      <c r="A373" s="4">
        <v>845</v>
      </c>
      <c r="B373" s="6" t="s">
        <v>44</v>
      </c>
      <c r="C373" s="6">
        <v>64.2</v>
      </c>
    </row>
    <row r="374" spans="1:3" x14ac:dyDescent="0.3">
      <c r="A374" s="4">
        <v>478</v>
      </c>
      <c r="B374" s="6" t="s">
        <v>44</v>
      </c>
      <c r="C374" s="6">
        <v>64.2</v>
      </c>
    </row>
    <row r="375" spans="1:3" x14ac:dyDescent="0.3">
      <c r="A375" s="4">
        <v>655</v>
      </c>
      <c r="B375" s="6" t="s">
        <v>44</v>
      </c>
      <c r="C375" s="6">
        <v>64.3</v>
      </c>
    </row>
    <row r="376" spans="1:3" x14ac:dyDescent="0.3">
      <c r="A376" s="4">
        <v>335</v>
      </c>
      <c r="B376" s="6" t="s">
        <v>44</v>
      </c>
      <c r="C376" s="6">
        <v>64.5</v>
      </c>
    </row>
    <row r="377" spans="1:3" x14ac:dyDescent="0.3">
      <c r="A377" s="4">
        <v>212</v>
      </c>
      <c r="B377" s="6" t="s">
        <v>44</v>
      </c>
      <c r="C377" s="6">
        <v>64.5</v>
      </c>
    </row>
    <row r="378" spans="1:3" x14ac:dyDescent="0.3">
      <c r="A378" s="4">
        <v>324</v>
      </c>
      <c r="B378" s="6" t="s">
        <v>44</v>
      </c>
      <c r="C378" s="6">
        <v>64.5</v>
      </c>
    </row>
    <row r="379" spans="1:3" x14ac:dyDescent="0.3">
      <c r="A379" s="4">
        <v>667</v>
      </c>
      <c r="B379" s="6" t="s">
        <v>44</v>
      </c>
      <c r="C379" s="6">
        <v>64.599999999999994</v>
      </c>
    </row>
    <row r="380" spans="1:3" x14ac:dyDescent="0.3">
      <c r="A380" s="4">
        <v>1107</v>
      </c>
      <c r="B380" s="6" t="s">
        <v>44</v>
      </c>
      <c r="C380" s="6">
        <v>64.599999999999994</v>
      </c>
    </row>
    <row r="381" spans="1:3" x14ac:dyDescent="0.3">
      <c r="A381" s="4">
        <v>187</v>
      </c>
      <c r="B381" s="6" t="s">
        <v>44</v>
      </c>
      <c r="C381" s="6">
        <v>64.8</v>
      </c>
    </row>
    <row r="382" spans="1:3" x14ac:dyDescent="0.3">
      <c r="A382" s="4">
        <v>981</v>
      </c>
      <c r="B382" s="6" t="s">
        <v>44</v>
      </c>
      <c r="C382" s="6">
        <v>64.8</v>
      </c>
    </row>
    <row r="383" spans="1:3" x14ac:dyDescent="0.3">
      <c r="A383" s="4">
        <v>993</v>
      </c>
      <c r="B383" s="6" t="s">
        <v>44</v>
      </c>
      <c r="C383" s="6">
        <v>64.8</v>
      </c>
    </row>
    <row r="384" spans="1:3" x14ac:dyDescent="0.3">
      <c r="A384" s="4">
        <v>661</v>
      </c>
      <c r="B384" s="6" t="s">
        <v>44</v>
      </c>
      <c r="C384" s="6">
        <v>64.8</v>
      </c>
    </row>
    <row r="385" spans="1:3" x14ac:dyDescent="0.3">
      <c r="A385" s="4">
        <v>213</v>
      </c>
      <c r="B385" s="6" t="s">
        <v>44</v>
      </c>
      <c r="C385" s="6">
        <v>65</v>
      </c>
    </row>
    <row r="386" spans="1:3" x14ac:dyDescent="0.3">
      <c r="A386" s="4">
        <v>341</v>
      </c>
      <c r="B386" s="6" t="s">
        <v>44</v>
      </c>
      <c r="C386" s="6">
        <v>65</v>
      </c>
    </row>
    <row r="387" spans="1:3" x14ac:dyDescent="0.3">
      <c r="A387" s="4">
        <v>252</v>
      </c>
      <c r="B387" s="6" t="s">
        <v>44</v>
      </c>
      <c r="C387" s="6">
        <v>65.2</v>
      </c>
    </row>
    <row r="388" spans="1:3" x14ac:dyDescent="0.3">
      <c r="A388" s="4">
        <v>1116</v>
      </c>
      <c r="B388" s="6" t="s">
        <v>44</v>
      </c>
      <c r="C388" s="6">
        <v>65.2</v>
      </c>
    </row>
    <row r="389" spans="1:3" x14ac:dyDescent="0.3">
      <c r="A389" s="4">
        <v>670</v>
      </c>
      <c r="B389" s="6" t="s">
        <v>44</v>
      </c>
      <c r="C389" s="6">
        <v>65.2</v>
      </c>
    </row>
    <row r="390" spans="1:3" x14ac:dyDescent="0.3">
      <c r="A390" s="4">
        <v>189</v>
      </c>
      <c r="B390" s="6" t="s">
        <v>44</v>
      </c>
      <c r="C390" s="6">
        <v>65.3</v>
      </c>
    </row>
    <row r="391" spans="1:3" x14ac:dyDescent="0.3">
      <c r="A391" s="4">
        <v>537</v>
      </c>
      <c r="B391" s="6" t="s">
        <v>44</v>
      </c>
      <c r="C391" s="6">
        <v>65.3</v>
      </c>
    </row>
    <row r="392" spans="1:3" x14ac:dyDescent="0.3">
      <c r="A392" s="4">
        <v>305</v>
      </c>
      <c r="B392" s="6" t="s">
        <v>44</v>
      </c>
      <c r="C392" s="6">
        <v>65.400000000000006</v>
      </c>
    </row>
    <row r="393" spans="1:3" x14ac:dyDescent="0.3">
      <c r="A393" s="4">
        <v>172</v>
      </c>
      <c r="B393" s="6" t="s">
        <v>44</v>
      </c>
      <c r="C393" s="6">
        <v>65.400000000000006</v>
      </c>
    </row>
    <row r="394" spans="1:3" x14ac:dyDescent="0.3">
      <c r="A394" s="4">
        <v>633</v>
      </c>
      <c r="B394" s="6" t="s">
        <v>44</v>
      </c>
      <c r="C394" s="6">
        <v>65.400000000000006</v>
      </c>
    </row>
    <row r="395" spans="1:3" x14ac:dyDescent="0.3">
      <c r="A395" s="4">
        <v>515</v>
      </c>
      <c r="B395" s="6" t="s">
        <v>44</v>
      </c>
      <c r="C395" s="6">
        <v>65.400000000000006</v>
      </c>
    </row>
    <row r="396" spans="1:3" x14ac:dyDescent="0.3">
      <c r="A396" s="4">
        <v>584</v>
      </c>
      <c r="B396" s="6" t="s">
        <v>44</v>
      </c>
      <c r="C396" s="6">
        <v>65.5</v>
      </c>
    </row>
    <row r="397" spans="1:3" x14ac:dyDescent="0.3">
      <c r="A397" s="4">
        <v>1072</v>
      </c>
      <c r="B397" s="6" t="s">
        <v>44</v>
      </c>
      <c r="C397" s="6">
        <v>65.5</v>
      </c>
    </row>
    <row r="398" spans="1:3" x14ac:dyDescent="0.3">
      <c r="A398" s="4">
        <v>1105</v>
      </c>
      <c r="B398" s="6" t="s">
        <v>44</v>
      </c>
      <c r="C398" s="6">
        <v>65.5</v>
      </c>
    </row>
    <row r="399" spans="1:3" x14ac:dyDescent="0.3">
      <c r="A399" s="4">
        <v>646</v>
      </c>
      <c r="B399" s="6" t="s">
        <v>44</v>
      </c>
      <c r="C399" s="6">
        <v>65.599999999999994</v>
      </c>
    </row>
    <row r="400" spans="1:3" x14ac:dyDescent="0.3">
      <c r="A400" s="4">
        <v>694</v>
      </c>
      <c r="B400" s="6" t="s">
        <v>44</v>
      </c>
      <c r="C400" s="6">
        <v>65.7</v>
      </c>
    </row>
    <row r="401" spans="1:3" x14ac:dyDescent="0.3">
      <c r="A401" s="4">
        <v>1073</v>
      </c>
      <c r="B401" s="6" t="s">
        <v>44</v>
      </c>
      <c r="C401" s="6">
        <v>65.900000000000006</v>
      </c>
    </row>
    <row r="402" spans="1:3" x14ac:dyDescent="0.3">
      <c r="A402" s="4">
        <v>1016</v>
      </c>
      <c r="B402" s="6" t="s">
        <v>44</v>
      </c>
      <c r="C402" s="6">
        <v>65.900000000000006</v>
      </c>
    </row>
    <row r="403" spans="1:3" x14ac:dyDescent="0.3">
      <c r="A403" s="4">
        <v>337</v>
      </c>
      <c r="B403" s="6" t="s">
        <v>44</v>
      </c>
      <c r="C403" s="6">
        <v>66</v>
      </c>
    </row>
    <row r="404" spans="1:3" x14ac:dyDescent="0.3">
      <c r="A404" s="4">
        <v>1103</v>
      </c>
      <c r="B404" s="6" t="s">
        <v>44</v>
      </c>
      <c r="C404" s="6">
        <v>66</v>
      </c>
    </row>
    <row r="405" spans="1:3" x14ac:dyDescent="0.3">
      <c r="A405" s="4">
        <v>323</v>
      </c>
      <c r="B405" s="6" t="s">
        <v>44</v>
      </c>
      <c r="C405" s="6">
        <v>66</v>
      </c>
    </row>
    <row r="406" spans="1:3" x14ac:dyDescent="0.3">
      <c r="A406" s="4">
        <v>209</v>
      </c>
      <c r="B406" s="6" t="s">
        <v>44</v>
      </c>
      <c r="C406" s="6">
        <v>66</v>
      </c>
    </row>
    <row r="407" spans="1:3" x14ac:dyDescent="0.3">
      <c r="A407" s="4">
        <v>297</v>
      </c>
      <c r="B407" s="6" t="s">
        <v>44</v>
      </c>
      <c r="C407" s="6">
        <v>66</v>
      </c>
    </row>
    <row r="408" spans="1:3" x14ac:dyDescent="0.3">
      <c r="A408" s="4">
        <v>307</v>
      </c>
      <c r="B408" s="6" t="s">
        <v>44</v>
      </c>
      <c r="C408" s="6">
        <v>66</v>
      </c>
    </row>
    <row r="409" spans="1:3" x14ac:dyDescent="0.3">
      <c r="A409" s="4">
        <v>167</v>
      </c>
      <c r="B409" s="6" t="s">
        <v>44</v>
      </c>
      <c r="C409" s="6">
        <v>66</v>
      </c>
    </row>
    <row r="410" spans="1:3" x14ac:dyDescent="0.3">
      <c r="A410" s="4">
        <v>361</v>
      </c>
      <c r="B410" s="6" t="s">
        <v>44</v>
      </c>
      <c r="C410" s="6">
        <v>66</v>
      </c>
    </row>
    <row r="411" spans="1:3" x14ac:dyDescent="0.3">
      <c r="A411" s="4">
        <v>228</v>
      </c>
      <c r="B411" s="6" t="s">
        <v>44</v>
      </c>
      <c r="C411" s="6">
        <v>66.099999999999994</v>
      </c>
    </row>
    <row r="412" spans="1:3" x14ac:dyDescent="0.3">
      <c r="A412" s="4">
        <v>321</v>
      </c>
      <c r="B412" s="6" t="s">
        <v>44</v>
      </c>
      <c r="C412" s="6">
        <v>66.099999999999994</v>
      </c>
    </row>
    <row r="413" spans="1:3" x14ac:dyDescent="0.3">
      <c r="A413" s="4">
        <v>679</v>
      </c>
      <c r="B413" s="6" t="s">
        <v>44</v>
      </c>
      <c r="C413" s="6">
        <v>66.2</v>
      </c>
    </row>
    <row r="414" spans="1:3" x14ac:dyDescent="0.3">
      <c r="A414" s="4">
        <v>683</v>
      </c>
      <c r="B414" s="6" t="s">
        <v>44</v>
      </c>
      <c r="C414" s="6">
        <v>66.2</v>
      </c>
    </row>
    <row r="415" spans="1:3" x14ac:dyDescent="0.3">
      <c r="A415" s="4">
        <v>260</v>
      </c>
      <c r="B415" s="6" t="s">
        <v>44</v>
      </c>
      <c r="C415" s="6">
        <v>66.3</v>
      </c>
    </row>
    <row r="416" spans="1:3" x14ac:dyDescent="0.3">
      <c r="A416" s="4">
        <v>627</v>
      </c>
      <c r="B416" s="6" t="s">
        <v>44</v>
      </c>
      <c r="C416" s="6">
        <v>66.3</v>
      </c>
    </row>
    <row r="417" spans="1:3" x14ac:dyDescent="0.3">
      <c r="A417" s="4">
        <v>647</v>
      </c>
      <c r="B417" s="6" t="s">
        <v>44</v>
      </c>
      <c r="C417" s="6">
        <v>66.3</v>
      </c>
    </row>
    <row r="418" spans="1:3" x14ac:dyDescent="0.3">
      <c r="A418" s="4">
        <v>1040</v>
      </c>
      <c r="B418" s="6" t="s">
        <v>44</v>
      </c>
      <c r="C418" s="6">
        <v>66.400000000000006</v>
      </c>
    </row>
    <row r="419" spans="1:3" x14ac:dyDescent="0.3">
      <c r="A419" s="4">
        <v>312</v>
      </c>
      <c r="B419" s="6" t="s">
        <v>44</v>
      </c>
      <c r="C419" s="6">
        <v>66.5</v>
      </c>
    </row>
    <row r="420" spans="1:3" x14ac:dyDescent="0.3">
      <c r="A420" s="4">
        <v>194</v>
      </c>
      <c r="B420" s="6" t="s">
        <v>44</v>
      </c>
      <c r="C420" s="6">
        <v>66.5</v>
      </c>
    </row>
    <row r="421" spans="1:3" x14ac:dyDescent="0.3">
      <c r="A421" s="4">
        <v>986</v>
      </c>
      <c r="B421" s="6" t="s">
        <v>44</v>
      </c>
      <c r="C421" s="6">
        <v>66.5</v>
      </c>
    </row>
    <row r="422" spans="1:3" x14ac:dyDescent="0.3">
      <c r="A422" s="4">
        <v>413</v>
      </c>
      <c r="B422" s="6" t="s">
        <v>44</v>
      </c>
      <c r="C422" s="6">
        <v>66.5</v>
      </c>
    </row>
    <row r="423" spans="1:3" x14ac:dyDescent="0.3">
      <c r="A423" s="4">
        <v>635</v>
      </c>
      <c r="B423" s="6" t="s">
        <v>44</v>
      </c>
      <c r="C423" s="6">
        <v>66.5</v>
      </c>
    </row>
    <row r="424" spans="1:3" x14ac:dyDescent="0.3">
      <c r="A424" s="4">
        <v>327</v>
      </c>
      <c r="B424" s="6" t="s">
        <v>44</v>
      </c>
      <c r="C424" s="6">
        <v>66.599999999999994</v>
      </c>
    </row>
    <row r="425" spans="1:3" x14ac:dyDescent="0.3">
      <c r="A425" s="4">
        <v>234</v>
      </c>
      <c r="B425" s="6" t="s">
        <v>44</v>
      </c>
      <c r="C425" s="6">
        <v>66.599999999999994</v>
      </c>
    </row>
    <row r="426" spans="1:3" x14ac:dyDescent="0.3">
      <c r="A426" s="4">
        <v>600</v>
      </c>
      <c r="B426" s="6" t="s">
        <v>44</v>
      </c>
      <c r="C426" s="6">
        <v>66.599999999999994</v>
      </c>
    </row>
    <row r="427" spans="1:3" x14ac:dyDescent="0.3">
      <c r="A427" s="4">
        <v>1049</v>
      </c>
      <c r="B427" s="6" t="s">
        <v>44</v>
      </c>
      <c r="C427" s="6">
        <v>66.599999999999994</v>
      </c>
    </row>
    <row r="428" spans="1:3" x14ac:dyDescent="0.3">
      <c r="A428" s="4">
        <v>1074</v>
      </c>
      <c r="B428" s="6" t="s">
        <v>44</v>
      </c>
      <c r="C428" s="6">
        <v>66.599999999999994</v>
      </c>
    </row>
    <row r="429" spans="1:3" x14ac:dyDescent="0.3">
      <c r="A429" s="4">
        <v>596</v>
      </c>
      <c r="B429" s="6" t="s">
        <v>44</v>
      </c>
      <c r="C429" s="6">
        <v>66.599999999999994</v>
      </c>
    </row>
    <row r="430" spans="1:3" x14ac:dyDescent="0.3">
      <c r="A430" s="4">
        <v>467</v>
      </c>
      <c r="B430" s="6" t="s">
        <v>44</v>
      </c>
      <c r="C430" s="6">
        <v>66.599999999999994</v>
      </c>
    </row>
    <row r="431" spans="1:3" x14ac:dyDescent="0.3">
      <c r="A431" s="4">
        <v>334</v>
      </c>
      <c r="B431" s="6" t="s">
        <v>44</v>
      </c>
      <c r="C431" s="6">
        <v>66.7</v>
      </c>
    </row>
    <row r="432" spans="1:3" x14ac:dyDescent="0.3">
      <c r="A432" s="4">
        <v>1065</v>
      </c>
      <c r="B432" s="6" t="s">
        <v>44</v>
      </c>
      <c r="C432" s="6">
        <v>66.7</v>
      </c>
    </row>
    <row r="433" spans="1:3" x14ac:dyDescent="0.3">
      <c r="A433" s="4">
        <v>1118</v>
      </c>
      <c r="B433" s="6" t="s">
        <v>44</v>
      </c>
      <c r="C433" s="6">
        <v>66.7</v>
      </c>
    </row>
    <row r="434" spans="1:3" x14ac:dyDescent="0.3">
      <c r="A434" s="4">
        <v>365</v>
      </c>
      <c r="B434" s="6" t="s">
        <v>44</v>
      </c>
      <c r="C434" s="6">
        <v>66.8</v>
      </c>
    </row>
    <row r="435" spans="1:3" x14ac:dyDescent="0.3">
      <c r="A435" s="4">
        <v>1033</v>
      </c>
      <c r="B435" s="6" t="s">
        <v>44</v>
      </c>
      <c r="C435" s="6">
        <v>66.8</v>
      </c>
    </row>
    <row r="436" spans="1:3" x14ac:dyDescent="0.3">
      <c r="A436" s="4">
        <v>989</v>
      </c>
      <c r="B436" s="6" t="s">
        <v>44</v>
      </c>
      <c r="C436" s="6">
        <v>66.8</v>
      </c>
    </row>
    <row r="437" spans="1:3" x14ac:dyDescent="0.3">
      <c r="A437" s="4">
        <v>856</v>
      </c>
      <c r="B437" s="6" t="s">
        <v>44</v>
      </c>
      <c r="C437" s="6">
        <v>66.900000000000006</v>
      </c>
    </row>
    <row r="438" spans="1:3" x14ac:dyDescent="0.3">
      <c r="A438" s="4">
        <v>367</v>
      </c>
      <c r="B438" s="6" t="s">
        <v>44</v>
      </c>
      <c r="C438" s="6">
        <v>66.900000000000006</v>
      </c>
    </row>
    <row r="439" spans="1:3" x14ac:dyDescent="0.3">
      <c r="A439" s="4">
        <v>301</v>
      </c>
      <c r="B439" s="6" t="s">
        <v>44</v>
      </c>
      <c r="C439" s="6">
        <v>67</v>
      </c>
    </row>
    <row r="440" spans="1:3" x14ac:dyDescent="0.3">
      <c r="A440" s="4">
        <v>666</v>
      </c>
      <c r="B440" s="6" t="s">
        <v>44</v>
      </c>
      <c r="C440" s="6">
        <v>67</v>
      </c>
    </row>
    <row r="441" spans="1:3" x14ac:dyDescent="0.3">
      <c r="A441" s="4">
        <v>591</v>
      </c>
      <c r="B441" s="6" t="s">
        <v>44</v>
      </c>
      <c r="C441" s="6">
        <v>67.099999999999994</v>
      </c>
    </row>
    <row r="442" spans="1:3" x14ac:dyDescent="0.3">
      <c r="A442" s="4">
        <v>1069</v>
      </c>
      <c r="B442" s="6" t="s">
        <v>44</v>
      </c>
      <c r="C442" s="6">
        <v>67.099999999999994</v>
      </c>
    </row>
    <row r="443" spans="1:3" x14ac:dyDescent="0.3">
      <c r="A443" s="4">
        <v>1024</v>
      </c>
      <c r="B443" s="6" t="s">
        <v>44</v>
      </c>
      <c r="C443" s="6">
        <v>67.099999999999994</v>
      </c>
    </row>
    <row r="444" spans="1:3" x14ac:dyDescent="0.3">
      <c r="A444" s="4">
        <v>397</v>
      </c>
      <c r="B444" s="6" t="s">
        <v>44</v>
      </c>
      <c r="C444" s="6">
        <v>67.3</v>
      </c>
    </row>
    <row r="445" spans="1:3" x14ac:dyDescent="0.3">
      <c r="A445" s="4">
        <v>1036</v>
      </c>
      <c r="B445" s="6" t="s">
        <v>44</v>
      </c>
      <c r="C445" s="6">
        <v>67.3</v>
      </c>
    </row>
    <row r="446" spans="1:3" x14ac:dyDescent="0.3">
      <c r="A446" s="4">
        <v>377</v>
      </c>
      <c r="B446" s="6" t="s">
        <v>44</v>
      </c>
      <c r="C446" s="6">
        <v>67.3</v>
      </c>
    </row>
    <row r="447" spans="1:3" x14ac:dyDescent="0.3">
      <c r="A447" s="4">
        <v>1035</v>
      </c>
      <c r="B447" s="6" t="s">
        <v>44</v>
      </c>
      <c r="C447" s="6">
        <v>67.3</v>
      </c>
    </row>
    <row r="448" spans="1:3" x14ac:dyDescent="0.3">
      <c r="A448" s="4">
        <v>1097</v>
      </c>
      <c r="B448" s="6" t="s">
        <v>44</v>
      </c>
      <c r="C448" s="6">
        <v>67.3</v>
      </c>
    </row>
    <row r="449" spans="1:3" x14ac:dyDescent="0.3">
      <c r="A449" s="4">
        <v>664</v>
      </c>
      <c r="B449" s="6" t="s">
        <v>44</v>
      </c>
      <c r="C449" s="6">
        <v>67.3</v>
      </c>
    </row>
    <row r="450" spans="1:3" x14ac:dyDescent="0.3">
      <c r="A450" s="4">
        <v>848</v>
      </c>
      <c r="B450" s="6" t="s">
        <v>44</v>
      </c>
      <c r="C450" s="6">
        <v>67.400000000000006</v>
      </c>
    </row>
    <row r="451" spans="1:3" x14ac:dyDescent="0.3">
      <c r="A451" s="4">
        <v>599</v>
      </c>
      <c r="B451" s="6" t="s">
        <v>44</v>
      </c>
      <c r="C451" s="6">
        <v>67.400000000000006</v>
      </c>
    </row>
    <row r="452" spans="1:3" x14ac:dyDescent="0.3">
      <c r="A452" s="4">
        <v>669</v>
      </c>
      <c r="B452" s="6" t="s">
        <v>44</v>
      </c>
      <c r="C452" s="6">
        <v>67.5</v>
      </c>
    </row>
    <row r="453" spans="1:3" x14ac:dyDescent="0.3">
      <c r="A453" s="4">
        <v>982</v>
      </c>
      <c r="B453" s="6" t="s">
        <v>44</v>
      </c>
      <c r="C453" s="6">
        <v>67.5</v>
      </c>
    </row>
    <row r="454" spans="1:3" x14ac:dyDescent="0.3">
      <c r="A454" s="4">
        <v>514</v>
      </c>
      <c r="B454" s="6" t="s">
        <v>44</v>
      </c>
      <c r="C454" s="6">
        <v>67.5</v>
      </c>
    </row>
    <row r="455" spans="1:3" x14ac:dyDescent="0.3">
      <c r="A455" s="4">
        <v>690</v>
      </c>
      <c r="B455" s="6" t="s">
        <v>44</v>
      </c>
      <c r="C455" s="6">
        <v>67.5</v>
      </c>
    </row>
    <row r="456" spans="1:3" x14ac:dyDescent="0.3">
      <c r="A456" s="4">
        <v>230</v>
      </c>
      <c r="B456" s="6" t="s">
        <v>44</v>
      </c>
      <c r="C456" s="6">
        <v>67.599999999999994</v>
      </c>
    </row>
    <row r="457" spans="1:3" x14ac:dyDescent="0.3">
      <c r="A457" s="4">
        <v>469</v>
      </c>
      <c r="B457" s="6" t="s">
        <v>44</v>
      </c>
      <c r="C457" s="6">
        <v>67.599999999999994</v>
      </c>
    </row>
    <row r="458" spans="1:3" x14ac:dyDescent="0.3">
      <c r="A458" s="4">
        <v>399</v>
      </c>
      <c r="B458" s="6" t="s">
        <v>44</v>
      </c>
      <c r="C458" s="6">
        <v>67.599999999999994</v>
      </c>
    </row>
    <row r="459" spans="1:3" x14ac:dyDescent="0.3">
      <c r="A459" s="4">
        <v>224</v>
      </c>
      <c r="B459" s="6" t="s">
        <v>44</v>
      </c>
      <c r="C459" s="6">
        <v>67.599999999999994</v>
      </c>
    </row>
    <row r="460" spans="1:3" x14ac:dyDescent="0.3">
      <c r="A460" s="4">
        <v>1067</v>
      </c>
      <c r="B460" s="6" t="s">
        <v>44</v>
      </c>
      <c r="C460" s="6">
        <v>67.7</v>
      </c>
    </row>
    <row r="461" spans="1:3" x14ac:dyDescent="0.3">
      <c r="A461" s="4">
        <v>1113</v>
      </c>
      <c r="B461" s="6" t="s">
        <v>44</v>
      </c>
      <c r="C461" s="6">
        <v>67.7</v>
      </c>
    </row>
    <row r="462" spans="1:3" x14ac:dyDescent="0.3">
      <c r="A462" s="4">
        <v>681</v>
      </c>
      <c r="B462" s="6" t="s">
        <v>44</v>
      </c>
      <c r="C462" s="6">
        <v>67.8</v>
      </c>
    </row>
    <row r="463" spans="1:3" x14ac:dyDescent="0.3">
      <c r="A463" s="4">
        <v>496</v>
      </c>
      <c r="B463" s="6" t="s">
        <v>44</v>
      </c>
      <c r="C463" s="6">
        <v>67.8</v>
      </c>
    </row>
    <row r="464" spans="1:3" x14ac:dyDescent="0.3">
      <c r="A464" s="4">
        <v>1236</v>
      </c>
      <c r="B464" s="6" t="s">
        <v>44</v>
      </c>
      <c r="C464" s="6">
        <v>67.8</v>
      </c>
    </row>
    <row r="465" spans="1:3" x14ac:dyDescent="0.3">
      <c r="A465" s="4">
        <v>1084</v>
      </c>
      <c r="B465" s="6" t="s">
        <v>44</v>
      </c>
      <c r="C465" s="6">
        <v>67.8</v>
      </c>
    </row>
    <row r="466" spans="1:3" x14ac:dyDescent="0.3">
      <c r="A466" s="4">
        <v>462</v>
      </c>
      <c r="B466" s="6" t="s">
        <v>44</v>
      </c>
      <c r="C466" s="6">
        <v>67.900000000000006</v>
      </c>
    </row>
    <row r="467" spans="1:3" x14ac:dyDescent="0.3">
      <c r="A467" s="4">
        <v>319</v>
      </c>
      <c r="B467" s="6" t="s">
        <v>44</v>
      </c>
      <c r="C467" s="6">
        <v>68</v>
      </c>
    </row>
    <row r="468" spans="1:3" x14ac:dyDescent="0.3">
      <c r="A468" s="4">
        <v>173</v>
      </c>
      <c r="B468" s="6" t="s">
        <v>44</v>
      </c>
      <c r="C468" s="6">
        <v>68</v>
      </c>
    </row>
    <row r="469" spans="1:3" x14ac:dyDescent="0.3">
      <c r="A469" s="4">
        <v>204</v>
      </c>
      <c r="B469" s="6" t="s">
        <v>44</v>
      </c>
      <c r="C469" s="6">
        <v>68</v>
      </c>
    </row>
    <row r="470" spans="1:3" x14ac:dyDescent="0.3">
      <c r="A470" s="4">
        <v>191</v>
      </c>
      <c r="B470" s="6" t="s">
        <v>44</v>
      </c>
      <c r="C470" s="6">
        <v>68</v>
      </c>
    </row>
    <row r="471" spans="1:3" x14ac:dyDescent="0.3">
      <c r="A471" s="4">
        <v>380</v>
      </c>
      <c r="B471" s="6" t="s">
        <v>44</v>
      </c>
      <c r="C471" s="6">
        <v>68</v>
      </c>
    </row>
    <row r="472" spans="1:3" x14ac:dyDescent="0.3">
      <c r="A472" s="4">
        <v>475</v>
      </c>
      <c r="B472" s="6" t="s">
        <v>44</v>
      </c>
      <c r="C472" s="6">
        <v>68</v>
      </c>
    </row>
    <row r="473" spans="1:3" x14ac:dyDescent="0.3">
      <c r="A473" s="4">
        <v>176</v>
      </c>
      <c r="B473" s="6" t="s">
        <v>44</v>
      </c>
      <c r="C473" s="6">
        <v>68.099999999999994</v>
      </c>
    </row>
    <row r="474" spans="1:3" x14ac:dyDescent="0.3">
      <c r="A474" s="4">
        <v>660</v>
      </c>
      <c r="B474" s="6" t="s">
        <v>44</v>
      </c>
      <c r="C474" s="6">
        <v>68.099999999999994</v>
      </c>
    </row>
    <row r="475" spans="1:3" x14ac:dyDescent="0.3">
      <c r="A475" s="4">
        <v>684</v>
      </c>
      <c r="B475" s="6" t="s">
        <v>44</v>
      </c>
      <c r="C475" s="6">
        <v>68.2</v>
      </c>
    </row>
    <row r="476" spans="1:3" x14ac:dyDescent="0.3">
      <c r="A476" s="4">
        <v>663</v>
      </c>
      <c r="B476" s="6" t="s">
        <v>44</v>
      </c>
      <c r="C476" s="6">
        <v>68.2</v>
      </c>
    </row>
    <row r="477" spans="1:3" x14ac:dyDescent="0.3">
      <c r="A477" s="4">
        <v>170</v>
      </c>
      <c r="B477" s="6" t="s">
        <v>44</v>
      </c>
      <c r="C477" s="6">
        <v>68.5</v>
      </c>
    </row>
    <row r="478" spans="1:3" x14ac:dyDescent="0.3">
      <c r="A478" s="4">
        <v>219</v>
      </c>
      <c r="B478" s="6" t="s">
        <v>44</v>
      </c>
      <c r="C478" s="6">
        <v>68.5</v>
      </c>
    </row>
    <row r="479" spans="1:3" x14ac:dyDescent="0.3">
      <c r="A479" s="4">
        <v>983</v>
      </c>
      <c r="B479" s="6" t="s">
        <v>44</v>
      </c>
      <c r="C479" s="6">
        <v>68.5</v>
      </c>
    </row>
    <row r="480" spans="1:3" x14ac:dyDescent="0.3">
      <c r="A480" s="4">
        <v>1086</v>
      </c>
      <c r="B480" s="6" t="s">
        <v>44</v>
      </c>
      <c r="C480" s="6">
        <v>68.5</v>
      </c>
    </row>
    <row r="481" spans="1:3" x14ac:dyDescent="0.3">
      <c r="A481" s="4">
        <v>985</v>
      </c>
      <c r="B481" s="6" t="s">
        <v>44</v>
      </c>
      <c r="C481" s="6">
        <v>68.599999999999994</v>
      </c>
    </row>
    <row r="482" spans="1:3" x14ac:dyDescent="0.3">
      <c r="A482" s="4">
        <v>1071</v>
      </c>
      <c r="B482" s="6" t="s">
        <v>44</v>
      </c>
      <c r="C482" s="6">
        <v>68.8</v>
      </c>
    </row>
    <row r="483" spans="1:3" x14ac:dyDescent="0.3">
      <c r="A483" s="4">
        <v>617</v>
      </c>
      <c r="B483" s="6" t="s">
        <v>44</v>
      </c>
      <c r="C483" s="6">
        <v>68.8</v>
      </c>
    </row>
    <row r="484" spans="1:3" x14ac:dyDescent="0.3">
      <c r="A484" s="4">
        <v>665</v>
      </c>
      <c r="B484" s="6" t="s">
        <v>44</v>
      </c>
      <c r="C484" s="6">
        <v>68.8</v>
      </c>
    </row>
    <row r="485" spans="1:3" x14ac:dyDescent="0.3">
      <c r="A485" s="4">
        <v>545</v>
      </c>
      <c r="B485" s="6" t="s">
        <v>44</v>
      </c>
      <c r="C485" s="6">
        <v>68.8</v>
      </c>
    </row>
    <row r="486" spans="1:3" x14ac:dyDescent="0.3">
      <c r="A486" s="4">
        <v>585</v>
      </c>
      <c r="B486" s="6" t="s">
        <v>44</v>
      </c>
      <c r="C486" s="6">
        <v>68.900000000000006</v>
      </c>
    </row>
    <row r="487" spans="1:3" x14ac:dyDescent="0.3">
      <c r="A487" s="4">
        <v>649</v>
      </c>
      <c r="B487" s="6" t="s">
        <v>44</v>
      </c>
      <c r="C487" s="6">
        <v>69</v>
      </c>
    </row>
    <row r="488" spans="1:3" x14ac:dyDescent="0.3">
      <c r="A488" s="4">
        <v>964</v>
      </c>
      <c r="B488" s="6" t="s">
        <v>44</v>
      </c>
      <c r="C488" s="6">
        <v>69.099999999999994</v>
      </c>
    </row>
    <row r="489" spans="1:3" x14ac:dyDescent="0.3">
      <c r="A489" s="4">
        <v>987</v>
      </c>
      <c r="B489" s="6" t="s">
        <v>44</v>
      </c>
      <c r="C489" s="6">
        <v>69.099999999999994</v>
      </c>
    </row>
    <row r="490" spans="1:3" x14ac:dyDescent="0.3">
      <c r="A490" s="4">
        <v>472</v>
      </c>
      <c r="B490" s="6" t="s">
        <v>44</v>
      </c>
      <c r="C490" s="6">
        <v>69.2</v>
      </c>
    </row>
    <row r="491" spans="1:3" x14ac:dyDescent="0.3">
      <c r="A491" s="4">
        <v>855</v>
      </c>
      <c r="B491" s="6" t="s">
        <v>44</v>
      </c>
      <c r="C491" s="6">
        <v>69.2</v>
      </c>
    </row>
    <row r="492" spans="1:3" x14ac:dyDescent="0.3">
      <c r="A492" s="4">
        <v>237</v>
      </c>
      <c r="B492" s="6" t="s">
        <v>44</v>
      </c>
      <c r="C492" s="6">
        <v>69.400000000000006</v>
      </c>
    </row>
    <row r="493" spans="1:3" x14ac:dyDescent="0.3">
      <c r="A493" s="4">
        <v>587</v>
      </c>
      <c r="B493" s="6" t="s">
        <v>44</v>
      </c>
      <c r="C493" s="6">
        <v>69.400000000000006</v>
      </c>
    </row>
    <row r="494" spans="1:3" x14ac:dyDescent="0.3">
      <c r="A494" s="4">
        <v>853</v>
      </c>
      <c r="B494" s="6" t="s">
        <v>44</v>
      </c>
      <c r="C494" s="6">
        <v>69.400000000000006</v>
      </c>
    </row>
    <row r="495" spans="1:3" x14ac:dyDescent="0.3">
      <c r="A495" s="4">
        <v>183</v>
      </c>
      <c r="B495" s="6" t="s">
        <v>44</v>
      </c>
      <c r="C495" s="6">
        <v>69.5</v>
      </c>
    </row>
    <row r="496" spans="1:3" x14ac:dyDescent="0.3">
      <c r="A496" s="4">
        <v>1059</v>
      </c>
      <c r="B496" s="6" t="s">
        <v>44</v>
      </c>
      <c r="C496" s="6">
        <v>69.5</v>
      </c>
    </row>
    <row r="497" spans="1:3" x14ac:dyDescent="0.3">
      <c r="A497" s="4">
        <v>267</v>
      </c>
      <c r="B497" s="6" t="s">
        <v>44</v>
      </c>
      <c r="C497" s="6">
        <v>69.7</v>
      </c>
    </row>
    <row r="498" spans="1:3" x14ac:dyDescent="0.3">
      <c r="A498" s="4">
        <v>593</v>
      </c>
      <c r="B498" s="6" t="s">
        <v>44</v>
      </c>
      <c r="C498" s="6">
        <v>69.7</v>
      </c>
    </row>
    <row r="499" spans="1:3" x14ac:dyDescent="0.3">
      <c r="A499" s="4">
        <v>988</v>
      </c>
      <c r="B499" s="6" t="s">
        <v>44</v>
      </c>
      <c r="C499" s="6">
        <v>69.8</v>
      </c>
    </row>
    <row r="500" spans="1:3" x14ac:dyDescent="0.3">
      <c r="A500" s="4">
        <v>1108</v>
      </c>
      <c r="B500" s="6" t="s">
        <v>44</v>
      </c>
      <c r="C500" s="6">
        <v>69.8</v>
      </c>
    </row>
    <row r="501" spans="1:3" x14ac:dyDescent="0.3">
      <c r="A501" s="4">
        <v>374</v>
      </c>
      <c r="B501" s="6" t="s">
        <v>44</v>
      </c>
      <c r="C501" s="6">
        <v>69.900000000000006</v>
      </c>
    </row>
    <row r="502" spans="1:3" x14ac:dyDescent="0.3">
      <c r="A502" s="4">
        <v>1099</v>
      </c>
      <c r="B502" s="6" t="s">
        <v>44</v>
      </c>
      <c r="C502" s="6">
        <v>70</v>
      </c>
    </row>
    <row r="503" spans="1:3" x14ac:dyDescent="0.3">
      <c r="A503" s="4">
        <v>268</v>
      </c>
      <c r="B503" s="6" t="s">
        <v>44</v>
      </c>
      <c r="C503" s="6">
        <v>70.099999999999994</v>
      </c>
    </row>
    <row r="504" spans="1:3" x14ac:dyDescent="0.3">
      <c r="A504" s="4">
        <v>330</v>
      </c>
      <c r="B504" s="6" t="s">
        <v>44</v>
      </c>
      <c r="C504" s="6">
        <v>70.2</v>
      </c>
    </row>
    <row r="505" spans="1:3" x14ac:dyDescent="0.3">
      <c r="A505" s="4">
        <v>1096</v>
      </c>
      <c r="B505" s="6" t="s">
        <v>44</v>
      </c>
      <c r="C505" s="6">
        <v>70.2</v>
      </c>
    </row>
    <row r="506" spans="1:3" x14ac:dyDescent="0.3">
      <c r="A506" s="4">
        <v>357</v>
      </c>
      <c r="B506" s="6" t="s">
        <v>44</v>
      </c>
      <c r="C506" s="6">
        <v>70.2</v>
      </c>
    </row>
    <row r="507" spans="1:3" x14ac:dyDescent="0.3">
      <c r="A507" s="4">
        <v>1114</v>
      </c>
      <c r="B507" s="6" t="s">
        <v>44</v>
      </c>
      <c r="C507" s="6">
        <v>70.2</v>
      </c>
    </row>
    <row r="508" spans="1:3" x14ac:dyDescent="0.3">
      <c r="A508" s="4">
        <v>364</v>
      </c>
      <c r="B508" s="6" t="s">
        <v>44</v>
      </c>
      <c r="C508" s="6">
        <v>70.3</v>
      </c>
    </row>
    <row r="509" spans="1:3" x14ac:dyDescent="0.3">
      <c r="A509" s="4">
        <v>637</v>
      </c>
      <c r="B509" s="6" t="s">
        <v>44</v>
      </c>
      <c r="C509" s="6">
        <v>70.400000000000006</v>
      </c>
    </row>
    <row r="510" spans="1:3" x14ac:dyDescent="0.3">
      <c r="A510" s="4">
        <v>387</v>
      </c>
      <c r="B510" s="6" t="s">
        <v>44</v>
      </c>
      <c r="C510" s="6">
        <v>70.5</v>
      </c>
    </row>
    <row r="511" spans="1:3" x14ac:dyDescent="0.3">
      <c r="A511" s="4">
        <v>598</v>
      </c>
      <c r="B511" s="6" t="s">
        <v>44</v>
      </c>
      <c r="C511" s="6">
        <v>70.5</v>
      </c>
    </row>
    <row r="512" spans="1:3" x14ac:dyDescent="0.3">
      <c r="A512" s="4">
        <v>673</v>
      </c>
      <c r="B512" s="6" t="s">
        <v>44</v>
      </c>
      <c r="C512" s="6">
        <v>70.599999999999994</v>
      </c>
    </row>
    <row r="513" spans="1:3" x14ac:dyDescent="0.3">
      <c r="A513" s="4">
        <v>676</v>
      </c>
      <c r="B513" s="6" t="s">
        <v>44</v>
      </c>
      <c r="C513" s="6">
        <v>70.7</v>
      </c>
    </row>
    <row r="514" spans="1:3" x14ac:dyDescent="0.3">
      <c r="A514" s="4">
        <v>675</v>
      </c>
      <c r="B514" s="6" t="s">
        <v>44</v>
      </c>
      <c r="C514" s="6">
        <v>70.7</v>
      </c>
    </row>
    <row r="515" spans="1:3" x14ac:dyDescent="0.3">
      <c r="A515" s="4">
        <v>623</v>
      </c>
      <c r="B515" s="6" t="s">
        <v>44</v>
      </c>
      <c r="C515" s="6">
        <v>70.7</v>
      </c>
    </row>
    <row r="516" spans="1:3" x14ac:dyDescent="0.3">
      <c r="A516" s="4">
        <v>354</v>
      </c>
      <c r="B516" s="6" t="s">
        <v>44</v>
      </c>
      <c r="C516" s="6">
        <v>70.8</v>
      </c>
    </row>
    <row r="517" spans="1:3" x14ac:dyDescent="0.3">
      <c r="A517" s="4">
        <v>1685</v>
      </c>
      <c r="B517" s="6" t="s">
        <v>44</v>
      </c>
      <c r="C517" s="6">
        <v>71</v>
      </c>
    </row>
    <row r="518" spans="1:3" x14ac:dyDescent="0.3">
      <c r="A518" s="4">
        <v>632</v>
      </c>
      <c r="B518" s="6" t="s">
        <v>44</v>
      </c>
      <c r="C518" s="6">
        <v>71</v>
      </c>
    </row>
    <row r="519" spans="1:3" x14ac:dyDescent="0.3">
      <c r="A519" s="4">
        <v>328</v>
      </c>
      <c r="B519" s="6" t="s">
        <v>44</v>
      </c>
      <c r="C519" s="6">
        <v>71.099999999999994</v>
      </c>
    </row>
    <row r="520" spans="1:3" x14ac:dyDescent="0.3">
      <c r="A520" s="4">
        <v>503</v>
      </c>
      <c r="B520" s="6" t="s">
        <v>44</v>
      </c>
      <c r="C520" s="6">
        <v>71.2</v>
      </c>
    </row>
    <row r="521" spans="1:3" x14ac:dyDescent="0.3">
      <c r="A521" s="4">
        <v>1015</v>
      </c>
      <c r="B521" s="6" t="s">
        <v>44</v>
      </c>
      <c r="C521" s="6">
        <v>71.2</v>
      </c>
    </row>
    <row r="522" spans="1:3" x14ac:dyDescent="0.3">
      <c r="A522" s="4">
        <v>693</v>
      </c>
      <c r="B522" s="6" t="s">
        <v>44</v>
      </c>
      <c r="C522" s="6">
        <v>71.3</v>
      </c>
    </row>
    <row r="523" spans="1:3" x14ac:dyDescent="0.3">
      <c r="A523" s="4">
        <v>1037</v>
      </c>
      <c r="B523" s="6" t="s">
        <v>44</v>
      </c>
      <c r="C523" s="6">
        <v>71.3</v>
      </c>
    </row>
    <row r="524" spans="1:3" x14ac:dyDescent="0.3">
      <c r="A524" s="4">
        <v>251</v>
      </c>
      <c r="B524" s="6" t="s">
        <v>44</v>
      </c>
      <c r="C524" s="6">
        <v>71.5</v>
      </c>
    </row>
    <row r="525" spans="1:3" x14ac:dyDescent="0.3">
      <c r="A525" s="4">
        <v>857</v>
      </c>
      <c r="B525" s="6" t="s">
        <v>44</v>
      </c>
      <c r="C525" s="6">
        <v>71.8</v>
      </c>
    </row>
    <row r="526" spans="1:3" x14ac:dyDescent="0.3">
      <c r="A526" s="4">
        <v>479</v>
      </c>
      <c r="B526" s="6" t="s">
        <v>44</v>
      </c>
      <c r="C526" s="6">
        <v>71.8</v>
      </c>
    </row>
    <row r="527" spans="1:3" x14ac:dyDescent="0.3">
      <c r="A527" s="4">
        <v>491</v>
      </c>
      <c r="B527" s="6" t="s">
        <v>44</v>
      </c>
      <c r="C527" s="6">
        <v>71.900000000000006</v>
      </c>
    </row>
    <row r="528" spans="1:3" x14ac:dyDescent="0.3">
      <c r="A528" s="4">
        <v>622</v>
      </c>
      <c r="B528" s="6" t="s">
        <v>44</v>
      </c>
      <c r="C528" s="6">
        <v>72</v>
      </c>
    </row>
    <row r="529" spans="1:3" x14ac:dyDescent="0.3">
      <c r="A529" s="4">
        <v>317</v>
      </c>
      <c r="B529" s="6" t="s">
        <v>44</v>
      </c>
      <c r="C529" s="6">
        <v>72</v>
      </c>
    </row>
    <row r="530" spans="1:3" x14ac:dyDescent="0.3">
      <c r="A530" s="4">
        <v>236</v>
      </c>
      <c r="B530" s="6" t="s">
        <v>44</v>
      </c>
      <c r="C530" s="6">
        <v>72</v>
      </c>
    </row>
    <row r="531" spans="1:3" x14ac:dyDescent="0.3">
      <c r="A531" s="4">
        <v>1038</v>
      </c>
      <c r="B531" s="6" t="s">
        <v>44</v>
      </c>
      <c r="C531" s="6">
        <v>72</v>
      </c>
    </row>
    <row r="532" spans="1:3" x14ac:dyDescent="0.3">
      <c r="A532" s="4">
        <v>657</v>
      </c>
      <c r="B532" s="6" t="s">
        <v>44</v>
      </c>
      <c r="C532" s="6">
        <v>72</v>
      </c>
    </row>
    <row r="533" spans="1:3" x14ac:dyDescent="0.3">
      <c r="A533" s="4">
        <v>997</v>
      </c>
      <c r="B533" s="6" t="s">
        <v>44</v>
      </c>
      <c r="C533" s="6">
        <v>72.099999999999994</v>
      </c>
    </row>
    <row r="534" spans="1:3" x14ac:dyDescent="0.3">
      <c r="A534" s="4">
        <v>631</v>
      </c>
      <c r="B534" s="6" t="s">
        <v>44</v>
      </c>
      <c r="C534" s="6">
        <v>72.2</v>
      </c>
    </row>
    <row r="535" spans="1:3" x14ac:dyDescent="0.3">
      <c r="A535" s="4">
        <v>352</v>
      </c>
      <c r="B535" s="6" t="s">
        <v>44</v>
      </c>
      <c r="C535" s="6">
        <v>72.3</v>
      </c>
    </row>
    <row r="536" spans="1:3" x14ac:dyDescent="0.3">
      <c r="A536" s="4">
        <v>1041</v>
      </c>
      <c r="B536" s="6" t="s">
        <v>44</v>
      </c>
      <c r="C536" s="6">
        <v>72.3</v>
      </c>
    </row>
    <row r="537" spans="1:3" x14ac:dyDescent="0.3">
      <c r="A537" s="4">
        <v>695</v>
      </c>
      <c r="B537" s="6" t="s">
        <v>44</v>
      </c>
      <c r="C537" s="6">
        <v>72.3</v>
      </c>
    </row>
    <row r="538" spans="1:3" x14ac:dyDescent="0.3">
      <c r="A538" s="4">
        <v>389</v>
      </c>
      <c r="B538" s="6" t="s">
        <v>44</v>
      </c>
      <c r="C538" s="6">
        <v>72.400000000000006</v>
      </c>
    </row>
    <row r="539" spans="1:3" x14ac:dyDescent="0.3">
      <c r="A539" s="4">
        <v>1109</v>
      </c>
      <c r="B539" s="6" t="s">
        <v>44</v>
      </c>
      <c r="C539" s="6">
        <v>72.400000000000006</v>
      </c>
    </row>
    <row r="540" spans="1:3" x14ac:dyDescent="0.3">
      <c r="A540" s="4">
        <v>1031</v>
      </c>
      <c r="B540" s="6" t="s">
        <v>44</v>
      </c>
      <c r="C540" s="6">
        <v>72.5</v>
      </c>
    </row>
    <row r="541" spans="1:3" x14ac:dyDescent="0.3">
      <c r="A541" s="4">
        <v>338</v>
      </c>
      <c r="B541" s="6" t="s">
        <v>44</v>
      </c>
      <c r="C541" s="6">
        <v>72.7</v>
      </c>
    </row>
    <row r="542" spans="1:3" x14ac:dyDescent="0.3">
      <c r="A542" s="4">
        <v>689</v>
      </c>
      <c r="B542" s="6" t="s">
        <v>44</v>
      </c>
      <c r="C542" s="6">
        <v>72.7</v>
      </c>
    </row>
    <row r="543" spans="1:3" x14ac:dyDescent="0.3">
      <c r="A543" s="4">
        <v>1110</v>
      </c>
      <c r="B543" s="6" t="s">
        <v>44</v>
      </c>
      <c r="C543" s="6">
        <v>72.7</v>
      </c>
    </row>
    <row r="544" spans="1:3" x14ac:dyDescent="0.3">
      <c r="A544" s="4">
        <v>589</v>
      </c>
      <c r="B544" s="6" t="s">
        <v>44</v>
      </c>
      <c r="C544" s="6">
        <v>72.900000000000006</v>
      </c>
    </row>
    <row r="545" spans="1:3" x14ac:dyDescent="0.3">
      <c r="A545" s="4">
        <v>1068</v>
      </c>
      <c r="B545" s="6" t="s">
        <v>44</v>
      </c>
      <c r="C545" s="6">
        <v>73</v>
      </c>
    </row>
    <row r="546" spans="1:3" x14ac:dyDescent="0.3">
      <c r="A546" s="4">
        <v>1115</v>
      </c>
      <c r="B546" s="6" t="s">
        <v>44</v>
      </c>
      <c r="C546" s="6">
        <v>73.099999999999994</v>
      </c>
    </row>
    <row r="547" spans="1:3" x14ac:dyDescent="0.3">
      <c r="A547" s="4">
        <v>847</v>
      </c>
      <c r="B547" s="6" t="s">
        <v>44</v>
      </c>
      <c r="C547" s="6">
        <v>73.3</v>
      </c>
    </row>
    <row r="548" spans="1:3" x14ac:dyDescent="0.3">
      <c r="A548" s="4">
        <v>1104</v>
      </c>
      <c r="B548" s="6" t="s">
        <v>44</v>
      </c>
      <c r="C548" s="6">
        <v>73.3</v>
      </c>
    </row>
    <row r="549" spans="1:3" x14ac:dyDescent="0.3">
      <c r="A549" s="4">
        <v>581</v>
      </c>
      <c r="B549" s="6" t="s">
        <v>44</v>
      </c>
      <c r="C549" s="6">
        <v>73.400000000000006</v>
      </c>
    </row>
    <row r="550" spans="1:3" x14ac:dyDescent="0.3">
      <c r="A550" s="4">
        <v>1149</v>
      </c>
      <c r="B550" s="6" t="s">
        <v>44</v>
      </c>
      <c r="C550" s="6">
        <v>73.400000000000006</v>
      </c>
    </row>
    <row r="551" spans="1:3" x14ac:dyDescent="0.3">
      <c r="A551" s="4">
        <v>692</v>
      </c>
      <c r="B551" s="6" t="s">
        <v>44</v>
      </c>
      <c r="C551" s="6">
        <v>73.5</v>
      </c>
    </row>
    <row r="552" spans="1:3" x14ac:dyDescent="0.3">
      <c r="A552" s="4">
        <v>490</v>
      </c>
      <c r="B552" s="6" t="s">
        <v>44</v>
      </c>
      <c r="C552" s="6">
        <v>73.599999999999994</v>
      </c>
    </row>
    <row r="553" spans="1:3" x14ac:dyDescent="0.3">
      <c r="A553" s="4">
        <v>583</v>
      </c>
      <c r="B553" s="6" t="s">
        <v>44</v>
      </c>
      <c r="C553" s="6">
        <v>73.599999999999994</v>
      </c>
    </row>
    <row r="554" spans="1:3" x14ac:dyDescent="0.3">
      <c r="A554" s="4">
        <v>1237</v>
      </c>
      <c r="B554" s="6" t="s">
        <v>44</v>
      </c>
      <c r="C554" s="6">
        <v>73.8</v>
      </c>
    </row>
    <row r="555" spans="1:3" x14ac:dyDescent="0.3">
      <c r="A555" s="4">
        <v>629</v>
      </c>
      <c r="B555" s="6" t="s">
        <v>44</v>
      </c>
      <c r="C555" s="6">
        <v>73.900000000000006</v>
      </c>
    </row>
    <row r="556" spans="1:3" x14ac:dyDescent="0.3">
      <c r="A556" s="4">
        <v>332</v>
      </c>
      <c r="B556" s="6" t="s">
        <v>44</v>
      </c>
      <c r="C556" s="6">
        <v>74</v>
      </c>
    </row>
    <row r="557" spans="1:3" x14ac:dyDescent="0.3">
      <c r="A557" s="4">
        <v>1090</v>
      </c>
      <c r="B557" s="6" t="s">
        <v>44</v>
      </c>
      <c r="C557" s="6">
        <v>74</v>
      </c>
    </row>
    <row r="558" spans="1:3" x14ac:dyDescent="0.3">
      <c r="A558" s="4">
        <v>1053</v>
      </c>
      <c r="B558" s="6" t="s">
        <v>44</v>
      </c>
      <c r="C558" s="6">
        <v>74.099999999999994</v>
      </c>
    </row>
    <row r="559" spans="1:3" x14ac:dyDescent="0.3">
      <c r="A559" s="4">
        <v>502</v>
      </c>
      <c r="B559" s="6" t="s">
        <v>44</v>
      </c>
      <c r="C559" s="6">
        <v>74.400000000000006</v>
      </c>
    </row>
    <row r="560" spans="1:3" x14ac:dyDescent="0.3">
      <c r="A560" s="4">
        <v>1066</v>
      </c>
      <c r="B560" s="6" t="s">
        <v>44</v>
      </c>
      <c r="C560" s="6">
        <v>74.5</v>
      </c>
    </row>
    <row r="561" spans="1:3" x14ac:dyDescent="0.3">
      <c r="A561" s="4">
        <v>269</v>
      </c>
      <c r="B561" s="6" t="s">
        <v>44</v>
      </c>
      <c r="C561" s="6">
        <v>74.599999999999994</v>
      </c>
    </row>
    <row r="562" spans="1:3" x14ac:dyDescent="0.3">
      <c r="A562" s="4">
        <v>849</v>
      </c>
      <c r="B562" s="6" t="s">
        <v>44</v>
      </c>
      <c r="C562" s="6">
        <v>74.599999999999994</v>
      </c>
    </row>
    <row r="563" spans="1:3" x14ac:dyDescent="0.3">
      <c r="A563" s="4">
        <v>846</v>
      </c>
      <c r="B563" s="6" t="s">
        <v>44</v>
      </c>
      <c r="C563" s="6">
        <v>74.8</v>
      </c>
    </row>
    <row r="564" spans="1:3" x14ac:dyDescent="0.3">
      <c r="A564" s="4">
        <v>643</v>
      </c>
      <c r="B564" s="6" t="s">
        <v>44</v>
      </c>
      <c r="C564" s="6">
        <v>74.900000000000006</v>
      </c>
    </row>
    <row r="565" spans="1:3" x14ac:dyDescent="0.3">
      <c r="A565" s="4">
        <v>644</v>
      </c>
      <c r="B565" s="6" t="s">
        <v>44</v>
      </c>
      <c r="C565" s="6">
        <v>76</v>
      </c>
    </row>
    <row r="566" spans="1:3" x14ac:dyDescent="0.3">
      <c r="A566" s="4">
        <v>843</v>
      </c>
      <c r="B566" s="6" t="s">
        <v>44</v>
      </c>
      <c r="C566" s="6">
        <v>76.099999999999994</v>
      </c>
    </row>
    <row r="567" spans="1:3" x14ac:dyDescent="0.3">
      <c r="A567" s="4">
        <v>902</v>
      </c>
      <c r="B567" s="6" t="s">
        <v>44</v>
      </c>
      <c r="C567" s="6">
        <v>76.3</v>
      </c>
    </row>
    <row r="568" spans="1:3" x14ac:dyDescent="0.3">
      <c r="A568" s="4">
        <v>984</v>
      </c>
      <c r="B568" s="6" t="s">
        <v>44</v>
      </c>
      <c r="C568" s="6">
        <v>76.5</v>
      </c>
    </row>
    <row r="569" spans="1:3" x14ac:dyDescent="0.3">
      <c r="A569" s="4">
        <v>417</v>
      </c>
      <c r="B569" s="6" t="s">
        <v>44</v>
      </c>
      <c r="C569" s="6">
        <v>76.599999999999994</v>
      </c>
    </row>
    <row r="570" spans="1:3" x14ac:dyDescent="0.3">
      <c r="A570" s="4">
        <v>222</v>
      </c>
      <c r="B570" s="6" t="s">
        <v>44</v>
      </c>
      <c r="C570" s="6">
        <v>76.7</v>
      </c>
    </row>
    <row r="571" spans="1:3" x14ac:dyDescent="0.3">
      <c r="A571" s="4">
        <v>388</v>
      </c>
      <c r="B571" s="6" t="s">
        <v>44</v>
      </c>
      <c r="C571" s="6">
        <v>76.8</v>
      </c>
    </row>
    <row r="572" spans="1:3" x14ac:dyDescent="0.3">
      <c r="A572" s="4">
        <v>1047</v>
      </c>
      <c r="B572" s="6" t="s">
        <v>44</v>
      </c>
      <c r="C572" s="6">
        <v>77</v>
      </c>
    </row>
    <row r="573" spans="1:3" x14ac:dyDescent="0.3">
      <c r="A573" s="4">
        <v>192</v>
      </c>
      <c r="B573" s="6" t="s">
        <v>44</v>
      </c>
      <c r="C573" s="6">
        <v>77.3</v>
      </c>
    </row>
    <row r="574" spans="1:3" x14ac:dyDescent="0.3">
      <c r="A574" s="4">
        <v>620</v>
      </c>
      <c r="B574" s="6" t="s">
        <v>44</v>
      </c>
      <c r="C574" s="6">
        <v>77.400000000000006</v>
      </c>
    </row>
    <row r="575" spans="1:3" x14ac:dyDescent="0.3">
      <c r="A575" s="4">
        <v>586</v>
      </c>
      <c r="B575" s="6" t="s">
        <v>44</v>
      </c>
      <c r="C575" s="6">
        <v>78.2</v>
      </c>
    </row>
    <row r="576" spans="1:3" x14ac:dyDescent="0.3">
      <c r="A576" s="4">
        <v>1111</v>
      </c>
      <c r="B576" s="6" t="s">
        <v>44</v>
      </c>
      <c r="C576" s="6">
        <v>78.2</v>
      </c>
    </row>
    <row r="577" spans="1:3" x14ac:dyDescent="0.3">
      <c r="A577" s="4">
        <v>594</v>
      </c>
      <c r="B577" s="6" t="s">
        <v>44</v>
      </c>
      <c r="C577" s="6">
        <v>78.599999999999994</v>
      </c>
    </row>
    <row r="578" spans="1:3" x14ac:dyDescent="0.3">
      <c r="A578" s="4">
        <v>615</v>
      </c>
      <c r="B578" s="6" t="s">
        <v>44</v>
      </c>
      <c r="C578" s="6">
        <v>80.3</v>
      </c>
    </row>
    <row r="579" spans="1:3" x14ac:dyDescent="0.3">
      <c r="A579" s="4">
        <v>521</v>
      </c>
      <c r="B579" s="6" t="s">
        <v>44</v>
      </c>
      <c r="C579" s="6">
        <v>80.5</v>
      </c>
    </row>
    <row r="580" spans="1:3" x14ac:dyDescent="0.3">
      <c r="A580" s="4">
        <v>223</v>
      </c>
      <c r="B580" s="6" t="s">
        <v>44</v>
      </c>
      <c r="C580" s="6">
        <v>81.5</v>
      </c>
    </row>
  </sheetData>
  <sortState xmlns:xlrd2="http://schemas.microsoft.com/office/spreadsheetml/2017/richdata2" ref="A205:C580">
    <sortCondition ref="C205:C580"/>
  </sortState>
  <mergeCells count="4">
    <mergeCell ref="B1:F2"/>
    <mergeCell ref="E4:G4"/>
    <mergeCell ref="H8:K10"/>
    <mergeCell ref="K53:M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F660-A1A5-435F-B261-8B44BAD049F3}">
  <dimension ref="A1:M577"/>
  <sheetViews>
    <sheetView topLeftCell="C55" zoomScale="63" zoomScaleNormal="63" workbookViewId="0">
      <selection activeCell="J60" sqref="I59:J60"/>
    </sheetView>
  </sheetViews>
  <sheetFormatPr baseColWidth="10" defaultRowHeight="13" x14ac:dyDescent="0.3"/>
  <cols>
    <col min="9" max="9" width="18.3984375" customWidth="1"/>
    <col min="10" max="10" width="23.3984375" customWidth="1"/>
    <col min="11" max="11" width="16.19921875" customWidth="1"/>
    <col min="12" max="12" width="17.59765625" customWidth="1"/>
  </cols>
  <sheetData>
    <row r="1" spans="1:13" x14ac:dyDescent="0.3">
      <c r="B1" s="60" t="s">
        <v>597</v>
      </c>
      <c r="C1" s="61"/>
      <c r="D1" s="61"/>
      <c r="E1" s="61"/>
      <c r="F1" s="61"/>
    </row>
    <row r="2" spans="1:13" x14ac:dyDescent="0.3">
      <c r="B2" s="61"/>
      <c r="C2" s="61"/>
      <c r="D2" s="61"/>
      <c r="E2" s="61"/>
      <c r="F2" s="61"/>
    </row>
    <row r="4" spans="1:13" x14ac:dyDescent="0.3">
      <c r="A4" t="s">
        <v>33</v>
      </c>
      <c r="B4" t="s">
        <v>598</v>
      </c>
      <c r="C4" t="s">
        <v>600</v>
      </c>
      <c r="E4" s="59" t="s">
        <v>601</v>
      </c>
      <c r="F4" s="59"/>
      <c r="G4" s="59"/>
    </row>
    <row r="5" spans="1:13" x14ac:dyDescent="0.3">
      <c r="A5" s="20">
        <v>611</v>
      </c>
      <c r="B5" s="21" t="s">
        <v>35</v>
      </c>
      <c r="C5" s="21">
        <v>8.8000000000000007</v>
      </c>
      <c r="E5" t="s">
        <v>602</v>
      </c>
      <c r="F5">
        <f>COUNT(C5:C577)</f>
        <v>573</v>
      </c>
      <c r="H5" s="14" t="s">
        <v>616</v>
      </c>
      <c r="I5">
        <f>MIN(C5:C596)</f>
        <v>8.8000000000000007</v>
      </c>
      <c r="J5" s="14" t="s">
        <v>646</v>
      </c>
      <c r="K5" s="16">
        <f>AVERAGE(C5:C204)</f>
        <v>47.545749999999998</v>
      </c>
      <c r="L5" s="14" t="s">
        <v>648</v>
      </c>
      <c r="M5">
        <f>STDEV(C5:C204)</f>
        <v>12.541042948201877</v>
      </c>
    </row>
    <row r="6" spans="1:13" x14ac:dyDescent="0.3">
      <c r="A6" s="20">
        <v>638</v>
      </c>
      <c r="B6" s="21" t="s">
        <v>35</v>
      </c>
      <c r="C6" s="21">
        <v>9.5</v>
      </c>
      <c r="E6" t="s">
        <v>603</v>
      </c>
      <c r="F6">
        <f>COUNT(C205:C577)</f>
        <v>373</v>
      </c>
      <c r="H6" s="14" t="s">
        <v>617</v>
      </c>
      <c r="I6">
        <f>MAX(C5:C596)</f>
        <v>86.2</v>
      </c>
      <c r="J6" s="14" t="s">
        <v>647</v>
      </c>
      <c r="K6" s="16">
        <f>AVERAGE(C205:C577)</f>
        <v>42.717319034852572</v>
      </c>
      <c r="L6" s="14" t="s">
        <v>649</v>
      </c>
      <c r="M6">
        <f>_xlfn.STDEV.S(C205:C577)</f>
        <v>6.7053973844527635</v>
      </c>
    </row>
    <row r="7" spans="1:13" x14ac:dyDescent="0.3">
      <c r="A7" s="20">
        <v>748</v>
      </c>
      <c r="B7" s="21" t="s">
        <v>35</v>
      </c>
      <c r="C7" s="21">
        <v>9.8000000000000007</v>
      </c>
      <c r="E7" t="s">
        <v>604</v>
      </c>
      <c r="F7">
        <f>COUNT(C5:C204)</f>
        <v>200</v>
      </c>
    </row>
    <row r="8" spans="1:13" x14ac:dyDescent="0.3">
      <c r="A8" s="20">
        <v>639</v>
      </c>
      <c r="B8" s="21" t="s">
        <v>35</v>
      </c>
      <c r="C8" s="21">
        <v>10</v>
      </c>
      <c r="E8" t="s">
        <v>605</v>
      </c>
      <c r="F8" s="16">
        <f>1+3.322*LOG(F5)</f>
        <v>10.162589654175669</v>
      </c>
      <c r="G8" t="s">
        <v>611</v>
      </c>
      <c r="H8" s="62" t="s">
        <v>615</v>
      </c>
      <c r="I8" s="63"/>
      <c r="J8" s="63"/>
      <c r="K8" s="63"/>
    </row>
    <row r="9" spans="1:13" x14ac:dyDescent="0.3">
      <c r="A9" s="20">
        <v>1258</v>
      </c>
      <c r="B9" s="21" t="s">
        <v>35</v>
      </c>
      <c r="C9" s="21">
        <v>10.5</v>
      </c>
      <c r="E9" s="25" t="s">
        <v>613</v>
      </c>
      <c r="F9" s="26">
        <v>11</v>
      </c>
      <c r="H9" s="63"/>
      <c r="I9" s="63"/>
      <c r="J9" s="63"/>
      <c r="K9" s="63"/>
    </row>
    <row r="10" spans="1:13" x14ac:dyDescent="0.3">
      <c r="A10" s="4">
        <v>543</v>
      </c>
      <c r="B10" s="6" t="s">
        <v>35</v>
      </c>
      <c r="C10" s="6">
        <v>21.5</v>
      </c>
      <c r="E10" t="s">
        <v>585</v>
      </c>
      <c r="F10" s="16">
        <f>I6-I5</f>
        <v>77.400000000000006</v>
      </c>
      <c r="H10" s="63"/>
      <c r="I10" s="63"/>
      <c r="J10" s="63"/>
      <c r="K10" s="63"/>
    </row>
    <row r="11" spans="1:13" x14ac:dyDescent="0.3">
      <c r="A11" s="4">
        <v>16</v>
      </c>
      <c r="B11" s="6" t="s">
        <v>35</v>
      </c>
      <c r="C11" s="6">
        <v>23.3</v>
      </c>
      <c r="E11" t="s">
        <v>607</v>
      </c>
      <c r="F11" s="16">
        <f>F10/F9</f>
        <v>7.036363636363637</v>
      </c>
    </row>
    <row r="12" spans="1:13" x14ac:dyDescent="0.3">
      <c r="A12" s="4">
        <v>5</v>
      </c>
      <c r="B12" s="6" t="s">
        <v>35</v>
      </c>
      <c r="C12" s="6">
        <v>26.35</v>
      </c>
      <c r="E12" t="s">
        <v>606</v>
      </c>
      <c r="F12" s="16">
        <f>SQRT(F5)</f>
        <v>23.937418407171648</v>
      </c>
      <c r="G12" t="s">
        <v>612</v>
      </c>
    </row>
    <row r="13" spans="1:13" x14ac:dyDescent="0.3">
      <c r="A13" s="4">
        <v>523</v>
      </c>
      <c r="B13" s="6" t="s">
        <v>35</v>
      </c>
      <c r="C13" s="6">
        <v>27.9</v>
      </c>
      <c r="E13" s="25" t="s">
        <v>614</v>
      </c>
      <c r="F13" s="26">
        <v>23</v>
      </c>
    </row>
    <row r="14" spans="1:13" x14ac:dyDescent="0.3">
      <c r="A14" s="4">
        <v>489</v>
      </c>
      <c r="B14" s="6" t="s">
        <v>35</v>
      </c>
      <c r="C14" s="6">
        <v>28</v>
      </c>
      <c r="E14" t="s">
        <v>608</v>
      </c>
      <c r="F14" s="16">
        <f>F10/F13</f>
        <v>3.3652173913043479</v>
      </c>
    </row>
    <row r="15" spans="1:13" x14ac:dyDescent="0.3">
      <c r="A15" s="4">
        <v>1007</v>
      </c>
      <c r="B15" s="6" t="s">
        <v>35</v>
      </c>
      <c r="C15" s="6">
        <v>28.1</v>
      </c>
      <c r="E15" t="s">
        <v>609</v>
      </c>
      <c r="F15" s="17">
        <f>AVERAGE(C5:C596)</f>
        <v>44.402635253054086</v>
      </c>
    </row>
    <row r="16" spans="1:13" x14ac:dyDescent="0.3">
      <c r="A16" s="4">
        <v>500</v>
      </c>
      <c r="B16" s="6" t="s">
        <v>35</v>
      </c>
      <c r="C16" s="6">
        <v>28.2</v>
      </c>
      <c r="E16" t="s">
        <v>610</v>
      </c>
      <c r="F16" s="16">
        <f>STDEV(C5:C596)</f>
        <v>9.448011234913352</v>
      </c>
    </row>
    <row r="17" spans="1:12" x14ac:dyDescent="0.3">
      <c r="A17" s="4">
        <v>533</v>
      </c>
      <c r="B17" s="6" t="s">
        <v>35</v>
      </c>
      <c r="C17" s="6">
        <v>28.8</v>
      </c>
    </row>
    <row r="18" spans="1:12" x14ac:dyDescent="0.3">
      <c r="A18" s="4">
        <v>162</v>
      </c>
      <c r="B18" s="6" t="s">
        <v>35</v>
      </c>
      <c r="C18" s="6">
        <v>29</v>
      </c>
      <c r="E18" s="14" t="s">
        <v>618</v>
      </c>
      <c r="F18" s="14" t="s">
        <v>587</v>
      </c>
      <c r="G18" s="14" t="s">
        <v>588</v>
      </c>
      <c r="H18" s="14" t="s">
        <v>619</v>
      </c>
      <c r="I18" s="14" t="s">
        <v>620</v>
      </c>
      <c r="J18" s="14" t="s">
        <v>621</v>
      </c>
      <c r="K18" s="14" t="s">
        <v>622</v>
      </c>
      <c r="L18" s="14" t="s">
        <v>623</v>
      </c>
    </row>
    <row r="19" spans="1:12" x14ac:dyDescent="0.3">
      <c r="A19" s="4">
        <v>163</v>
      </c>
      <c r="B19" s="6" t="s">
        <v>35</v>
      </c>
      <c r="C19" s="6">
        <v>29</v>
      </c>
      <c r="E19">
        <v>1</v>
      </c>
      <c r="F19">
        <f>I5</f>
        <v>8.8000000000000007</v>
      </c>
      <c r="G19" s="16">
        <f>F19+$F$14</f>
        <v>12.165217391304349</v>
      </c>
      <c r="H19" s="14" cm="1">
        <f t="array" ref="H19:H41">FREQUENCY(C5:C577,G19:G40)</f>
        <v>8</v>
      </c>
      <c r="I19" s="24">
        <f t="shared" ref="I19:I43" si="0">H19/$H$44</f>
        <v>1.3961605584642234E-2</v>
      </c>
      <c r="J19" s="24">
        <f>I19</f>
        <v>1.3961605584642234E-2</v>
      </c>
      <c r="K19">
        <f>NORMDIST(G19,$F$15,$F$16,TRUE)</f>
        <v>3.2233998073928031E-4</v>
      </c>
      <c r="L19">
        <f>ABS(J19-K19)</f>
        <v>1.3639265603902953E-2</v>
      </c>
    </row>
    <row r="20" spans="1:12" x14ac:dyDescent="0.3">
      <c r="A20" s="4">
        <v>532</v>
      </c>
      <c r="B20" s="6" t="s">
        <v>35</v>
      </c>
      <c r="C20" s="6">
        <v>29.1</v>
      </c>
      <c r="E20">
        <f>E19+1</f>
        <v>2</v>
      </c>
      <c r="F20" s="16">
        <f>G19</f>
        <v>12.165217391304349</v>
      </c>
      <c r="G20" s="16">
        <f>F20+$F$14</f>
        <v>15.530434782608697</v>
      </c>
      <c r="H20">
        <v>0</v>
      </c>
      <c r="I20" s="24">
        <f t="shared" si="0"/>
        <v>0</v>
      </c>
      <c r="J20" s="24">
        <f>J19+I20</f>
        <v>1.3961605584642234E-2</v>
      </c>
      <c r="K20">
        <f t="shared" ref="K20:K43" si="1">NORMDIST(G20,$F$15,$F$16,TRUE)</f>
        <v>1.1219213136850364E-3</v>
      </c>
      <c r="L20">
        <f t="shared" ref="L20:L43" si="2">ABS(J20-K20)</f>
        <v>1.2839684270957198E-2</v>
      </c>
    </row>
    <row r="21" spans="1:12" x14ac:dyDescent="0.3">
      <c r="A21" s="4">
        <v>512</v>
      </c>
      <c r="B21" s="6" t="s">
        <v>35</v>
      </c>
      <c r="C21" s="6">
        <v>29.3</v>
      </c>
      <c r="E21">
        <f t="shared" ref="E21:E41" si="3">E20+1</f>
        <v>3</v>
      </c>
      <c r="F21" s="16">
        <f t="shared" ref="F21:F41" si="4">G20</f>
        <v>15.530434782608697</v>
      </c>
      <c r="G21" s="16">
        <f t="shared" ref="G21:G41" si="5">F21+$F$14</f>
        <v>18.895652173913046</v>
      </c>
      <c r="H21">
        <v>1</v>
      </c>
      <c r="I21" s="24">
        <f t="shared" si="0"/>
        <v>1.7452006980802793E-3</v>
      </c>
      <c r="J21" s="24">
        <f t="shared" ref="J21:J43" si="6">J20+I21</f>
        <v>1.5706806282722512E-2</v>
      </c>
      <c r="K21">
        <f t="shared" si="1"/>
        <v>3.4698947680628241E-3</v>
      </c>
      <c r="L21">
        <f t="shared" si="2"/>
        <v>1.2236911514659688E-2</v>
      </c>
    </row>
    <row r="22" spans="1:12" x14ac:dyDescent="0.3">
      <c r="A22" s="4">
        <v>552</v>
      </c>
      <c r="B22" s="6" t="s">
        <v>35</v>
      </c>
      <c r="C22" s="6">
        <v>29.7</v>
      </c>
      <c r="E22">
        <f t="shared" si="3"/>
        <v>4</v>
      </c>
      <c r="F22" s="16">
        <f t="shared" si="4"/>
        <v>18.895652173913046</v>
      </c>
      <c r="G22" s="16">
        <f t="shared" si="5"/>
        <v>22.260869565217394</v>
      </c>
      <c r="H22">
        <v>1</v>
      </c>
      <c r="I22" s="24">
        <f t="shared" si="0"/>
        <v>1.7452006980802793E-3</v>
      </c>
      <c r="J22" s="24">
        <f t="shared" si="6"/>
        <v>1.7452006980802792E-2</v>
      </c>
      <c r="K22">
        <f t="shared" si="1"/>
        <v>9.5509289171651218E-3</v>
      </c>
      <c r="L22">
        <f t="shared" si="2"/>
        <v>7.9010780636376704E-3</v>
      </c>
    </row>
    <row r="23" spans="1:12" x14ac:dyDescent="0.3">
      <c r="A23" s="4">
        <v>477</v>
      </c>
      <c r="B23" s="6" t="s">
        <v>35</v>
      </c>
      <c r="C23" s="6">
        <v>29.8</v>
      </c>
      <c r="E23">
        <f t="shared" si="3"/>
        <v>5</v>
      </c>
      <c r="F23" s="16">
        <f t="shared" si="4"/>
        <v>22.260869565217394</v>
      </c>
      <c r="G23" s="16">
        <f t="shared" si="5"/>
        <v>25.626086956521743</v>
      </c>
      <c r="H23">
        <v>1</v>
      </c>
      <c r="I23" s="24">
        <f t="shared" si="0"/>
        <v>1.7452006980802793E-3</v>
      </c>
      <c r="J23" s="24">
        <f t="shared" si="6"/>
        <v>1.9197207678883072E-2</v>
      </c>
      <c r="K23">
        <f t="shared" si="1"/>
        <v>2.3441559215888488E-2</v>
      </c>
      <c r="L23">
        <f t="shared" si="2"/>
        <v>4.2443515370054162E-3</v>
      </c>
    </row>
    <row r="24" spans="1:12" x14ac:dyDescent="0.3">
      <c r="A24" s="4">
        <v>470</v>
      </c>
      <c r="B24" s="6" t="s">
        <v>35</v>
      </c>
      <c r="C24" s="6">
        <v>30.6</v>
      </c>
      <c r="E24">
        <f t="shared" si="3"/>
        <v>6</v>
      </c>
      <c r="F24" s="16">
        <f t="shared" si="4"/>
        <v>25.626086956521743</v>
      </c>
      <c r="G24" s="16">
        <f t="shared" si="5"/>
        <v>28.991304347826091</v>
      </c>
      <c r="H24">
        <v>14</v>
      </c>
      <c r="I24" s="24">
        <f t="shared" si="0"/>
        <v>2.4432809773123908E-2</v>
      </c>
      <c r="J24" s="24">
        <f t="shared" si="6"/>
        <v>4.3630017452006981E-2</v>
      </c>
      <c r="K24">
        <f t="shared" si="1"/>
        <v>5.1427021164559751E-2</v>
      </c>
      <c r="L24">
        <f t="shared" si="2"/>
        <v>7.7970037125527705E-3</v>
      </c>
    </row>
    <row r="25" spans="1:12" x14ac:dyDescent="0.3">
      <c r="A25" s="4">
        <v>526</v>
      </c>
      <c r="B25" s="6" t="s">
        <v>35</v>
      </c>
      <c r="C25" s="6">
        <v>30.6</v>
      </c>
      <c r="E25">
        <f t="shared" si="3"/>
        <v>7</v>
      </c>
      <c r="F25" s="16">
        <f t="shared" si="4"/>
        <v>28.991304347826091</v>
      </c>
      <c r="G25" s="16">
        <f t="shared" si="5"/>
        <v>32.356521739130436</v>
      </c>
      <c r="H25">
        <v>41</v>
      </c>
      <c r="I25" s="24">
        <f t="shared" si="0"/>
        <v>7.1553228621291445E-2</v>
      </c>
      <c r="J25" s="24">
        <f t="shared" si="6"/>
        <v>0.11518324607329843</v>
      </c>
      <c r="K25">
        <f t="shared" si="1"/>
        <v>0.10115650932951099</v>
      </c>
      <c r="L25">
        <f t="shared" si="2"/>
        <v>1.4026736743787432E-2</v>
      </c>
    </row>
    <row r="26" spans="1:12" x14ac:dyDescent="0.3">
      <c r="A26" s="4">
        <v>471</v>
      </c>
      <c r="B26" s="6" t="s">
        <v>35</v>
      </c>
      <c r="C26" s="6">
        <v>31.2</v>
      </c>
      <c r="E26">
        <f t="shared" si="3"/>
        <v>8</v>
      </c>
      <c r="F26" s="16">
        <f t="shared" si="4"/>
        <v>32.356521739130436</v>
      </c>
      <c r="G26" s="16">
        <f t="shared" si="5"/>
        <v>35.721739130434784</v>
      </c>
      <c r="H26">
        <v>30</v>
      </c>
      <c r="I26" s="24">
        <f t="shared" si="0"/>
        <v>5.2356020942408377E-2</v>
      </c>
      <c r="J26" s="24">
        <f t="shared" si="6"/>
        <v>0.16753926701570682</v>
      </c>
      <c r="K26">
        <f t="shared" si="1"/>
        <v>0.179098340973359</v>
      </c>
      <c r="L26">
        <f t="shared" si="2"/>
        <v>1.1559073957652183E-2</v>
      </c>
    </row>
    <row r="27" spans="1:12" x14ac:dyDescent="0.3">
      <c r="A27" s="4">
        <v>501</v>
      </c>
      <c r="B27" s="6" t="s">
        <v>35</v>
      </c>
      <c r="C27" s="6">
        <v>31.4</v>
      </c>
      <c r="E27">
        <f t="shared" si="3"/>
        <v>9</v>
      </c>
      <c r="F27" s="16">
        <f t="shared" si="4"/>
        <v>35.721739130434784</v>
      </c>
      <c r="G27" s="16">
        <f t="shared" si="5"/>
        <v>39.086956521739133</v>
      </c>
      <c r="H27">
        <v>28</v>
      </c>
      <c r="I27" s="24">
        <f t="shared" si="0"/>
        <v>4.8865619546247817E-2</v>
      </c>
      <c r="J27" s="24">
        <f t="shared" si="6"/>
        <v>0.21640488656195464</v>
      </c>
      <c r="K27">
        <f t="shared" si="1"/>
        <v>0.28684544197159945</v>
      </c>
      <c r="L27">
        <f t="shared" si="2"/>
        <v>7.0440555409644806E-2</v>
      </c>
    </row>
    <row r="28" spans="1:12" x14ac:dyDescent="0.3">
      <c r="A28" s="4">
        <v>505</v>
      </c>
      <c r="B28" s="6" t="s">
        <v>35</v>
      </c>
      <c r="C28" s="6">
        <v>31.5</v>
      </c>
      <c r="E28">
        <f t="shared" si="3"/>
        <v>10</v>
      </c>
      <c r="F28" s="16">
        <f t="shared" si="4"/>
        <v>39.086956521739133</v>
      </c>
      <c r="G28" s="16">
        <f t="shared" si="5"/>
        <v>42.452173913043481</v>
      </c>
      <c r="H28">
        <v>59</v>
      </c>
      <c r="I28" s="24">
        <f t="shared" si="0"/>
        <v>0.10296684118673648</v>
      </c>
      <c r="J28" s="24">
        <f t="shared" si="6"/>
        <v>0.3193717277486911</v>
      </c>
      <c r="K28">
        <f t="shared" si="1"/>
        <v>0.41822303951985351</v>
      </c>
      <c r="L28">
        <f t="shared" si="2"/>
        <v>9.8851311771162409E-2</v>
      </c>
    </row>
    <row r="29" spans="1:12" x14ac:dyDescent="0.3">
      <c r="A29" s="4">
        <v>524</v>
      </c>
      <c r="B29" s="6" t="s">
        <v>35</v>
      </c>
      <c r="C29" s="6">
        <v>31.6</v>
      </c>
      <c r="E29">
        <f t="shared" si="3"/>
        <v>11</v>
      </c>
      <c r="F29" s="16">
        <f t="shared" si="4"/>
        <v>42.452173913043481</v>
      </c>
      <c r="G29" s="16">
        <f t="shared" si="5"/>
        <v>45.817391304347829</v>
      </c>
      <c r="H29">
        <v>139</v>
      </c>
      <c r="I29" s="24">
        <f t="shared" si="0"/>
        <v>0.2425828970331588</v>
      </c>
      <c r="J29" s="24">
        <f t="shared" si="6"/>
        <v>0.56195462478184988</v>
      </c>
      <c r="K29">
        <f t="shared" si="1"/>
        <v>0.55951557873631019</v>
      </c>
      <c r="L29">
        <f t="shared" si="2"/>
        <v>2.4390460455396834E-3</v>
      </c>
    </row>
    <row r="30" spans="1:12" x14ac:dyDescent="0.3">
      <c r="A30" s="4">
        <v>329</v>
      </c>
      <c r="B30" s="6" t="s">
        <v>35</v>
      </c>
      <c r="C30" s="6">
        <v>31.7</v>
      </c>
      <c r="E30">
        <f t="shared" si="3"/>
        <v>12</v>
      </c>
      <c r="F30" s="16">
        <f t="shared" si="4"/>
        <v>45.817391304347829</v>
      </c>
      <c r="G30" s="16">
        <f t="shared" si="5"/>
        <v>49.182608695652178</v>
      </c>
      <c r="H30">
        <v>108</v>
      </c>
      <c r="I30" s="24">
        <f t="shared" si="0"/>
        <v>0.18848167539267016</v>
      </c>
      <c r="J30" s="24">
        <f t="shared" si="6"/>
        <v>0.75043630017452001</v>
      </c>
      <c r="K30">
        <f t="shared" si="1"/>
        <v>0.69354491682913144</v>
      </c>
      <c r="L30">
        <f t="shared" si="2"/>
        <v>5.6891383345388569E-2</v>
      </c>
    </row>
    <row r="31" spans="1:12" x14ac:dyDescent="0.3">
      <c r="A31" s="4">
        <v>1088</v>
      </c>
      <c r="B31" s="6" t="s">
        <v>35</v>
      </c>
      <c r="C31" s="6">
        <v>32</v>
      </c>
      <c r="E31">
        <f t="shared" si="3"/>
        <v>13</v>
      </c>
      <c r="F31" s="16">
        <f t="shared" si="4"/>
        <v>49.182608695652178</v>
      </c>
      <c r="G31" s="16">
        <f t="shared" si="5"/>
        <v>52.547826086956526</v>
      </c>
      <c r="H31">
        <v>60</v>
      </c>
      <c r="I31" s="24">
        <f t="shared" si="0"/>
        <v>0.10471204188481675</v>
      </c>
      <c r="J31" s="24">
        <f t="shared" si="6"/>
        <v>0.85514834205933676</v>
      </c>
      <c r="K31">
        <f t="shared" si="1"/>
        <v>0.80568551160235169</v>
      </c>
      <c r="L31">
        <f t="shared" si="2"/>
        <v>4.9462830456985074E-2</v>
      </c>
    </row>
    <row r="32" spans="1:12" x14ac:dyDescent="0.3">
      <c r="A32" s="4">
        <v>549</v>
      </c>
      <c r="B32" s="6" t="s">
        <v>35</v>
      </c>
      <c r="C32" s="6">
        <v>32.299999999999997</v>
      </c>
      <c r="E32">
        <f t="shared" si="3"/>
        <v>14</v>
      </c>
      <c r="F32" s="16">
        <f t="shared" si="4"/>
        <v>52.547826086956526</v>
      </c>
      <c r="G32" s="16">
        <f t="shared" si="5"/>
        <v>55.913043478260875</v>
      </c>
      <c r="H32">
        <v>29</v>
      </c>
      <c r="I32" s="24">
        <f t="shared" si="0"/>
        <v>5.06108202443281E-2</v>
      </c>
      <c r="J32" s="24">
        <f t="shared" si="6"/>
        <v>0.90575916230366482</v>
      </c>
      <c r="K32">
        <f t="shared" si="1"/>
        <v>0.88844291697118027</v>
      </c>
      <c r="L32">
        <f t="shared" si="2"/>
        <v>1.7316245332484548E-2</v>
      </c>
    </row>
    <row r="33" spans="1:13" x14ac:dyDescent="0.3">
      <c r="A33" s="4">
        <v>371</v>
      </c>
      <c r="B33" s="6" t="s">
        <v>35</v>
      </c>
      <c r="C33" s="6">
        <v>32.5</v>
      </c>
      <c r="E33">
        <f t="shared" si="3"/>
        <v>15</v>
      </c>
      <c r="F33" s="16">
        <f t="shared" si="4"/>
        <v>55.913043478260875</v>
      </c>
      <c r="G33" s="16">
        <f t="shared" si="5"/>
        <v>59.278260869565223</v>
      </c>
      <c r="H33">
        <v>23</v>
      </c>
      <c r="I33" s="24">
        <f t="shared" si="0"/>
        <v>4.0139616055846421E-2</v>
      </c>
      <c r="J33" s="24">
        <f t="shared" si="6"/>
        <v>0.94589877835951119</v>
      </c>
      <c r="K33">
        <f t="shared" si="1"/>
        <v>0.94231077195653801</v>
      </c>
      <c r="L33">
        <f t="shared" si="2"/>
        <v>3.5880064029731873E-3</v>
      </c>
    </row>
    <row r="34" spans="1:13" x14ac:dyDescent="0.3">
      <c r="A34" s="4">
        <v>225</v>
      </c>
      <c r="B34" s="6" t="s">
        <v>35</v>
      </c>
      <c r="C34" s="6">
        <v>32.6</v>
      </c>
      <c r="E34">
        <f t="shared" si="3"/>
        <v>16</v>
      </c>
      <c r="F34" s="16">
        <f t="shared" si="4"/>
        <v>59.278260869565223</v>
      </c>
      <c r="G34" s="16">
        <f t="shared" si="5"/>
        <v>62.643478260869571</v>
      </c>
      <c r="H34">
        <v>14</v>
      </c>
      <c r="I34" s="24">
        <f t="shared" si="0"/>
        <v>2.4432809773123908E-2</v>
      </c>
      <c r="J34" s="24">
        <f t="shared" si="6"/>
        <v>0.97033158813263509</v>
      </c>
      <c r="K34">
        <f t="shared" si="1"/>
        <v>0.97323708767270067</v>
      </c>
      <c r="L34">
        <f t="shared" si="2"/>
        <v>2.9054995400655814E-3</v>
      </c>
    </row>
    <row r="35" spans="1:13" x14ac:dyDescent="0.3">
      <c r="A35" s="4">
        <v>3</v>
      </c>
      <c r="B35" s="6" t="s">
        <v>35</v>
      </c>
      <c r="C35" s="6">
        <v>33</v>
      </c>
      <c r="E35">
        <f t="shared" si="3"/>
        <v>17</v>
      </c>
      <c r="F35" s="16">
        <f t="shared" si="4"/>
        <v>62.643478260869571</v>
      </c>
      <c r="G35" s="16">
        <f t="shared" si="5"/>
        <v>66.008695652173913</v>
      </c>
      <c r="H35">
        <v>12</v>
      </c>
      <c r="I35" s="24">
        <f t="shared" si="0"/>
        <v>2.0942408376963352E-2</v>
      </c>
      <c r="J35" s="24">
        <f t="shared" si="6"/>
        <v>0.99127399650959847</v>
      </c>
      <c r="K35">
        <f t="shared" si="1"/>
        <v>0.98889732659641627</v>
      </c>
      <c r="L35">
        <f t="shared" si="2"/>
        <v>2.3766699131821944E-3</v>
      </c>
    </row>
    <row r="36" spans="1:13" x14ac:dyDescent="0.3">
      <c r="A36" s="4">
        <v>582</v>
      </c>
      <c r="B36" s="6" t="s">
        <v>35</v>
      </c>
      <c r="C36" s="6">
        <v>33.299999999999997</v>
      </c>
      <c r="E36">
        <f t="shared" si="3"/>
        <v>18</v>
      </c>
      <c r="F36" s="16">
        <f t="shared" si="4"/>
        <v>66.008695652173913</v>
      </c>
      <c r="G36" s="16">
        <f t="shared" si="5"/>
        <v>69.373913043478254</v>
      </c>
      <c r="H36">
        <v>3</v>
      </c>
      <c r="I36" s="24">
        <f t="shared" si="0"/>
        <v>5.235602094240838E-3</v>
      </c>
      <c r="J36" s="24">
        <f t="shared" si="6"/>
        <v>0.99650959860383925</v>
      </c>
      <c r="K36">
        <f t="shared" si="1"/>
        <v>0.99589148468227207</v>
      </c>
      <c r="L36">
        <f t="shared" si="2"/>
        <v>6.1811392156718714E-4</v>
      </c>
    </row>
    <row r="37" spans="1:13" x14ac:dyDescent="0.3">
      <c r="A37" s="4">
        <v>177</v>
      </c>
      <c r="B37" s="6" t="s">
        <v>35</v>
      </c>
      <c r="C37" s="6">
        <v>33.4</v>
      </c>
      <c r="E37">
        <f t="shared" si="3"/>
        <v>19</v>
      </c>
      <c r="F37" s="16">
        <f t="shared" si="4"/>
        <v>69.373913043478254</v>
      </c>
      <c r="G37" s="16">
        <f t="shared" si="5"/>
        <v>72.739130434782595</v>
      </c>
      <c r="H37">
        <v>0</v>
      </c>
      <c r="I37" s="24">
        <f t="shared" si="0"/>
        <v>0</v>
      </c>
      <c r="J37" s="24">
        <f t="shared" si="6"/>
        <v>0.99650959860383925</v>
      </c>
      <c r="K37">
        <f t="shared" si="1"/>
        <v>0.99864656158248255</v>
      </c>
      <c r="L37">
        <f t="shared" si="2"/>
        <v>2.1369629786432975E-3</v>
      </c>
    </row>
    <row r="38" spans="1:13" x14ac:dyDescent="0.3">
      <c r="A38" s="4">
        <v>508</v>
      </c>
      <c r="B38" s="6" t="s">
        <v>35</v>
      </c>
      <c r="C38" s="6">
        <v>34.9</v>
      </c>
      <c r="E38">
        <f t="shared" si="3"/>
        <v>20</v>
      </c>
      <c r="F38" s="16">
        <f t="shared" si="4"/>
        <v>72.739130434782595</v>
      </c>
      <c r="G38" s="16">
        <f t="shared" si="5"/>
        <v>76.104347826086936</v>
      </c>
      <c r="H38">
        <v>0</v>
      </c>
      <c r="I38" s="24">
        <f t="shared" si="0"/>
        <v>0</v>
      </c>
      <c r="J38" s="24">
        <f t="shared" si="6"/>
        <v>0.99650959860383925</v>
      </c>
      <c r="K38">
        <f t="shared" si="1"/>
        <v>0.99960372660178054</v>
      </c>
      <c r="L38">
        <f t="shared" si="2"/>
        <v>3.0941279979412872E-3</v>
      </c>
    </row>
    <row r="39" spans="1:13" x14ac:dyDescent="0.3">
      <c r="A39" s="4">
        <v>174</v>
      </c>
      <c r="B39" s="6" t="s">
        <v>35</v>
      </c>
      <c r="C39" s="6">
        <v>35.200000000000003</v>
      </c>
      <c r="E39">
        <f t="shared" si="3"/>
        <v>21</v>
      </c>
      <c r="F39" s="16">
        <f t="shared" si="4"/>
        <v>76.104347826086936</v>
      </c>
      <c r="G39" s="16">
        <f t="shared" si="5"/>
        <v>79.469565217391278</v>
      </c>
      <c r="H39">
        <v>1</v>
      </c>
      <c r="I39" s="24">
        <f t="shared" si="0"/>
        <v>1.7452006980802793E-3</v>
      </c>
      <c r="J39" s="24">
        <f t="shared" si="6"/>
        <v>0.99825479930191952</v>
      </c>
      <c r="K39">
        <f t="shared" si="1"/>
        <v>0.99989701007548848</v>
      </c>
      <c r="L39">
        <f t="shared" si="2"/>
        <v>1.6422107735689639E-3</v>
      </c>
    </row>
    <row r="40" spans="1:13" x14ac:dyDescent="0.3">
      <c r="A40" s="4">
        <v>202</v>
      </c>
      <c r="B40" s="6" t="s">
        <v>35</v>
      </c>
      <c r="C40" s="6">
        <v>35.4</v>
      </c>
      <c r="E40">
        <f>E39+1</f>
        <v>22</v>
      </c>
      <c r="F40" s="16">
        <f t="shared" si="4"/>
        <v>79.469565217391278</v>
      </c>
      <c r="G40" s="16">
        <f t="shared" si="5"/>
        <v>82.834782608695619</v>
      </c>
      <c r="H40">
        <v>0</v>
      </c>
      <c r="I40" s="24">
        <f t="shared" si="0"/>
        <v>0</v>
      </c>
      <c r="J40" s="24">
        <f t="shared" si="6"/>
        <v>0.99825479930191952</v>
      </c>
      <c r="K40">
        <f t="shared" si="1"/>
        <v>0.99997626536173534</v>
      </c>
      <c r="L40">
        <f t="shared" si="2"/>
        <v>1.7214660598158238E-3</v>
      </c>
    </row>
    <row r="41" spans="1:13" x14ac:dyDescent="0.3">
      <c r="A41" s="4">
        <v>1243</v>
      </c>
      <c r="B41" s="6" t="s">
        <v>35</v>
      </c>
      <c r="C41" s="6">
        <v>35.6</v>
      </c>
      <c r="E41">
        <f t="shared" si="3"/>
        <v>23</v>
      </c>
      <c r="F41" s="16">
        <f t="shared" si="4"/>
        <v>82.834782608695619</v>
      </c>
      <c r="G41" s="16">
        <f t="shared" si="5"/>
        <v>86.19999999999996</v>
      </c>
      <c r="H41">
        <v>1</v>
      </c>
      <c r="I41" s="24">
        <f t="shared" si="0"/>
        <v>1.7452006980802793E-3</v>
      </c>
      <c r="J41" s="24">
        <f t="shared" si="6"/>
        <v>0.99999999999999978</v>
      </c>
      <c r="K41">
        <f t="shared" si="1"/>
        <v>0.99999515398619421</v>
      </c>
      <c r="L41">
        <f t="shared" si="2"/>
        <v>4.8460138055705926E-6</v>
      </c>
    </row>
    <row r="42" spans="1:13" x14ac:dyDescent="0.3">
      <c r="A42" s="4">
        <v>169</v>
      </c>
      <c r="B42" s="6" t="s">
        <v>35</v>
      </c>
      <c r="C42" s="6">
        <v>36</v>
      </c>
      <c r="F42" s="16"/>
      <c r="G42" s="16"/>
      <c r="I42" s="24">
        <f t="shared" si="0"/>
        <v>0</v>
      </c>
      <c r="J42" s="24">
        <f t="shared" si="6"/>
        <v>0.99999999999999978</v>
      </c>
      <c r="K42">
        <f t="shared" si="1"/>
        <v>1.3028434068398892E-6</v>
      </c>
      <c r="L42">
        <f t="shared" si="2"/>
        <v>0.99999869715659295</v>
      </c>
    </row>
    <row r="43" spans="1:13" x14ac:dyDescent="0.3">
      <c r="A43" s="4">
        <v>243</v>
      </c>
      <c r="B43" s="6" t="s">
        <v>35</v>
      </c>
      <c r="C43" s="6">
        <v>36.700000000000003</v>
      </c>
      <c r="I43" s="24">
        <f t="shared" si="0"/>
        <v>0</v>
      </c>
      <c r="J43" s="27">
        <f t="shared" si="6"/>
        <v>0.99999999999999978</v>
      </c>
      <c r="K43">
        <f t="shared" si="1"/>
        <v>1.3028434068398892E-6</v>
      </c>
      <c r="L43">
        <f t="shared" si="2"/>
        <v>0.99999869715659295</v>
      </c>
    </row>
    <row r="44" spans="1:13" x14ac:dyDescent="0.3">
      <c r="A44" s="4">
        <v>531</v>
      </c>
      <c r="B44" s="6" t="s">
        <v>35</v>
      </c>
      <c r="C44" s="6">
        <v>37.9</v>
      </c>
      <c r="H44" s="26">
        <f>SUM(_xlfn.ANCHORARRAY(H19))</f>
        <v>573</v>
      </c>
      <c r="I44" s="27">
        <f>SUM(I19:I43)</f>
        <v>0.99999999999999978</v>
      </c>
      <c r="K44" s="14" t="s">
        <v>624</v>
      </c>
      <c r="L44" s="28">
        <f>SUM(L19:L43)</f>
        <v>2.3977307756801096</v>
      </c>
    </row>
    <row r="45" spans="1:13" x14ac:dyDescent="0.3">
      <c r="A45" s="4">
        <v>1057</v>
      </c>
      <c r="B45" s="6" t="s">
        <v>35</v>
      </c>
      <c r="C45" s="6">
        <v>37.9</v>
      </c>
    </row>
    <row r="46" spans="1:13" x14ac:dyDescent="0.3">
      <c r="A46" s="4">
        <v>161</v>
      </c>
      <c r="B46" s="6" t="s">
        <v>35</v>
      </c>
      <c r="C46" s="6">
        <v>38.5</v>
      </c>
      <c r="K46" s="14" t="s">
        <v>625</v>
      </c>
      <c r="L46">
        <f>MAX(L19:L43)</f>
        <v>0.99999869715659295</v>
      </c>
    </row>
    <row r="47" spans="1:13" x14ac:dyDescent="0.3">
      <c r="A47" s="4">
        <v>195</v>
      </c>
      <c r="B47" s="6" t="s">
        <v>35</v>
      </c>
      <c r="C47" s="6">
        <v>38.5</v>
      </c>
      <c r="K47" s="14" t="s">
        <v>626</v>
      </c>
      <c r="L47">
        <v>0.05</v>
      </c>
      <c r="M47" s="29">
        <v>0.95</v>
      </c>
    </row>
    <row r="48" spans="1:13" x14ac:dyDescent="0.3">
      <c r="A48" s="4">
        <v>258</v>
      </c>
      <c r="B48" s="6" t="s">
        <v>35</v>
      </c>
      <c r="C48" s="6">
        <v>38.5</v>
      </c>
      <c r="K48" s="14" t="s">
        <v>627</v>
      </c>
      <c r="L48">
        <f>H44</f>
        <v>573</v>
      </c>
    </row>
    <row r="49" spans="1:13" x14ac:dyDescent="0.3">
      <c r="A49" s="4">
        <v>203</v>
      </c>
      <c r="B49" s="6" t="s">
        <v>35</v>
      </c>
      <c r="C49" s="6">
        <v>39</v>
      </c>
      <c r="K49" s="14" t="s">
        <v>628</v>
      </c>
      <c r="L49">
        <f>1.36/SQRT(L48)</f>
        <v>5.6814815067632529E-2</v>
      </c>
    </row>
    <row r="50" spans="1:13" x14ac:dyDescent="0.3">
      <c r="A50" s="4">
        <v>179</v>
      </c>
      <c r="B50" s="6" t="s">
        <v>35</v>
      </c>
      <c r="C50" s="6">
        <v>39.4</v>
      </c>
    </row>
    <row r="51" spans="1:13" x14ac:dyDescent="0.3">
      <c r="A51" s="4">
        <v>180</v>
      </c>
      <c r="B51" s="6" t="s">
        <v>35</v>
      </c>
      <c r="C51" s="6">
        <v>39.5</v>
      </c>
      <c r="K51" s="14" t="s">
        <v>629</v>
      </c>
      <c r="L51" t="str">
        <f>IF(L46&gt;L49,"Hay diferencias","No hay diferencias")</f>
        <v>Hay diferencias</v>
      </c>
    </row>
    <row r="52" spans="1:13" x14ac:dyDescent="0.3">
      <c r="A52" s="4">
        <v>229</v>
      </c>
      <c r="B52" s="6" t="s">
        <v>35</v>
      </c>
      <c r="C52" s="6">
        <v>39.700000000000003</v>
      </c>
    </row>
    <row r="53" spans="1:13" x14ac:dyDescent="0.3">
      <c r="A53" s="4">
        <v>254</v>
      </c>
      <c r="B53" s="6" t="s">
        <v>35</v>
      </c>
      <c r="C53" s="6">
        <v>40.200000000000003</v>
      </c>
      <c r="K53" s="62" t="s">
        <v>631</v>
      </c>
      <c r="L53" s="63"/>
      <c r="M53" s="63"/>
    </row>
    <row r="54" spans="1:13" x14ac:dyDescent="0.3">
      <c r="A54" s="4">
        <v>1085</v>
      </c>
      <c r="B54" s="6" t="s">
        <v>35</v>
      </c>
      <c r="C54" s="6">
        <v>40.299999999999997</v>
      </c>
      <c r="K54" s="63"/>
      <c r="L54" s="63"/>
      <c r="M54" s="63"/>
    </row>
    <row r="55" spans="1:13" x14ac:dyDescent="0.3">
      <c r="A55" s="4">
        <v>541</v>
      </c>
      <c r="B55" s="6" t="s">
        <v>35</v>
      </c>
      <c r="C55" s="6">
        <v>40.700000000000003</v>
      </c>
    </row>
    <row r="56" spans="1:13" x14ac:dyDescent="0.3">
      <c r="A56" s="4">
        <v>221</v>
      </c>
      <c r="B56" s="6" t="s">
        <v>35</v>
      </c>
      <c r="C56" s="6">
        <v>40.799999999999997</v>
      </c>
    </row>
    <row r="57" spans="1:13" x14ac:dyDescent="0.3">
      <c r="A57" s="4">
        <v>1042</v>
      </c>
      <c r="B57" s="6" t="s">
        <v>35</v>
      </c>
      <c r="C57" s="6">
        <v>41</v>
      </c>
    </row>
    <row r="58" spans="1:13" x14ac:dyDescent="0.3">
      <c r="A58" s="4">
        <v>457</v>
      </c>
      <c r="B58" s="6" t="s">
        <v>35</v>
      </c>
      <c r="C58" s="6">
        <v>41.1</v>
      </c>
    </row>
    <row r="59" spans="1:13" x14ac:dyDescent="0.3">
      <c r="A59" s="4">
        <v>166</v>
      </c>
      <c r="B59" s="6" t="s">
        <v>35</v>
      </c>
      <c r="C59" s="6">
        <v>41.5</v>
      </c>
    </row>
    <row r="60" spans="1:13" x14ac:dyDescent="0.3">
      <c r="A60" s="4">
        <v>473</v>
      </c>
      <c r="B60" s="6" t="s">
        <v>35</v>
      </c>
      <c r="C60" s="6">
        <v>41.5</v>
      </c>
    </row>
    <row r="61" spans="1:13" x14ac:dyDescent="0.3">
      <c r="A61" s="4">
        <v>1245</v>
      </c>
      <c r="B61" s="6" t="s">
        <v>35</v>
      </c>
      <c r="C61" s="6">
        <v>41.8</v>
      </c>
    </row>
    <row r="62" spans="1:13" x14ac:dyDescent="0.3">
      <c r="A62" s="4">
        <v>200</v>
      </c>
      <c r="B62" s="6" t="s">
        <v>35</v>
      </c>
      <c r="C62" s="6">
        <v>42</v>
      </c>
    </row>
    <row r="63" spans="1:13" x14ac:dyDescent="0.3">
      <c r="A63" s="4">
        <v>1242</v>
      </c>
      <c r="B63" s="6" t="s">
        <v>35</v>
      </c>
      <c r="C63" s="6">
        <v>42</v>
      </c>
    </row>
    <row r="64" spans="1:13" x14ac:dyDescent="0.3">
      <c r="A64" s="4">
        <v>247</v>
      </c>
      <c r="B64" s="6" t="s">
        <v>35</v>
      </c>
      <c r="C64" s="6">
        <v>42.7</v>
      </c>
    </row>
    <row r="65" spans="1:3" x14ac:dyDescent="0.3">
      <c r="A65" s="4">
        <v>171</v>
      </c>
      <c r="B65" s="6" t="s">
        <v>35</v>
      </c>
      <c r="C65" s="6">
        <v>43</v>
      </c>
    </row>
    <row r="66" spans="1:3" x14ac:dyDescent="0.3">
      <c r="A66" s="4">
        <v>406</v>
      </c>
      <c r="B66" s="6" t="s">
        <v>35</v>
      </c>
      <c r="C66" s="6">
        <v>43</v>
      </c>
    </row>
    <row r="67" spans="1:3" x14ac:dyDescent="0.3">
      <c r="A67" s="4">
        <v>270</v>
      </c>
      <c r="B67" s="6" t="s">
        <v>35</v>
      </c>
      <c r="C67" s="6">
        <v>43.2</v>
      </c>
    </row>
    <row r="68" spans="1:3" x14ac:dyDescent="0.3">
      <c r="A68" s="4">
        <v>1093</v>
      </c>
      <c r="B68" s="6" t="s">
        <v>35</v>
      </c>
      <c r="C68" s="6">
        <v>43.2</v>
      </c>
    </row>
    <row r="69" spans="1:3" x14ac:dyDescent="0.3">
      <c r="A69" s="4">
        <v>420</v>
      </c>
      <c r="B69" s="6" t="s">
        <v>35</v>
      </c>
      <c r="C69" s="6">
        <v>43.4</v>
      </c>
    </row>
    <row r="70" spans="1:3" x14ac:dyDescent="0.3">
      <c r="A70" s="4">
        <v>226</v>
      </c>
      <c r="B70" s="6" t="s">
        <v>35</v>
      </c>
      <c r="C70" s="6">
        <v>43.6</v>
      </c>
    </row>
    <row r="71" spans="1:3" x14ac:dyDescent="0.3">
      <c r="A71" s="4">
        <v>580</v>
      </c>
      <c r="B71" s="6" t="s">
        <v>35</v>
      </c>
      <c r="C71" s="6">
        <v>43.6</v>
      </c>
    </row>
    <row r="72" spans="1:3" x14ac:dyDescent="0.3">
      <c r="A72" s="4">
        <v>217</v>
      </c>
      <c r="B72" s="6" t="s">
        <v>35</v>
      </c>
      <c r="C72" s="6">
        <v>43.8</v>
      </c>
    </row>
    <row r="73" spans="1:3" x14ac:dyDescent="0.3">
      <c r="A73" s="4">
        <v>366</v>
      </c>
      <c r="B73" s="6" t="s">
        <v>35</v>
      </c>
      <c r="C73" s="6">
        <v>43.9</v>
      </c>
    </row>
    <row r="74" spans="1:3" x14ac:dyDescent="0.3">
      <c r="A74" s="4">
        <v>597</v>
      </c>
      <c r="B74" s="6" t="s">
        <v>35</v>
      </c>
      <c r="C74" s="6">
        <v>44.1</v>
      </c>
    </row>
    <row r="75" spans="1:3" x14ac:dyDescent="0.3">
      <c r="A75" s="4">
        <v>186</v>
      </c>
      <c r="B75" s="6" t="s">
        <v>35</v>
      </c>
      <c r="C75" s="6">
        <v>44.3</v>
      </c>
    </row>
    <row r="76" spans="1:3" x14ac:dyDescent="0.3">
      <c r="A76" s="4">
        <v>266</v>
      </c>
      <c r="B76" s="6" t="s">
        <v>35</v>
      </c>
      <c r="C76" s="6">
        <v>44.4</v>
      </c>
    </row>
    <row r="77" spans="1:3" x14ac:dyDescent="0.3">
      <c r="A77" s="4">
        <v>2</v>
      </c>
      <c r="B77" s="6" t="s">
        <v>35</v>
      </c>
      <c r="C77" s="6">
        <v>45</v>
      </c>
    </row>
    <row r="78" spans="1:3" x14ac:dyDescent="0.3">
      <c r="A78" s="4">
        <v>178</v>
      </c>
      <c r="B78" s="6" t="s">
        <v>35</v>
      </c>
      <c r="C78" s="6">
        <v>45</v>
      </c>
    </row>
    <row r="79" spans="1:3" x14ac:dyDescent="0.3">
      <c r="A79" s="4">
        <v>210</v>
      </c>
      <c r="B79" s="6" t="s">
        <v>35</v>
      </c>
      <c r="C79" s="6">
        <v>45</v>
      </c>
    </row>
    <row r="80" spans="1:3" x14ac:dyDescent="0.3">
      <c r="A80" s="4">
        <v>249</v>
      </c>
      <c r="B80" s="6" t="s">
        <v>35</v>
      </c>
      <c r="C80" s="6">
        <v>45.1</v>
      </c>
    </row>
    <row r="81" spans="1:3" x14ac:dyDescent="0.3">
      <c r="A81" s="4">
        <v>492</v>
      </c>
      <c r="B81" s="6" t="s">
        <v>35</v>
      </c>
      <c r="C81" s="6">
        <v>45.1</v>
      </c>
    </row>
    <row r="82" spans="1:3" x14ac:dyDescent="0.3">
      <c r="A82" s="4">
        <v>185</v>
      </c>
      <c r="B82" s="6" t="s">
        <v>35</v>
      </c>
      <c r="C82" s="6">
        <v>45.6</v>
      </c>
    </row>
    <row r="83" spans="1:3" x14ac:dyDescent="0.3">
      <c r="A83" s="4">
        <v>261</v>
      </c>
      <c r="B83" s="6" t="s">
        <v>35</v>
      </c>
      <c r="C83" s="6">
        <v>45.7</v>
      </c>
    </row>
    <row r="84" spans="1:3" x14ac:dyDescent="0.3">
      <c r="A84" s="4">
        <v>250</v>
      </c>
      <c r="B84" s="6" t="s">
        <v>35</v>
      </c>
      <c r="C84" s="6">
        <v>46</v>
      </c>
    </row>
    <row r="85" spans="1:3" x14ac:dyDescent="0.3">
      <c r="A85" s="4">
        <v>182</v>
      </c>
      <c r="B85" s="6" t="s">
        <v>35</v>
      </c>
      <c r="C85" s="6">
        <v>46.1</v>
      </c>
    </row>
    <row r="86" spans="1:3" x14ac:dyDescent="0.3">
      <c r="A86" s="4">
        <v>175</v>
      </c>
      <c r="B86" s="6" t="s">
        <v>35</v>
      </c>
      <c r="C86" s="6">
        <v>46.3</v>
      </c>
    </row>
    <row r="87" spans="1:3" x14ac:dyDescent="0.3">
      <c r="A87" s="4">
        <v>158</v>
      </c>
      <c r="B87" s="6" t="s">
        <v>35</v>
      </c>
      <c r="C87" s="6">
        <v>47</v>
      </c>
    </row>
    <row r="88" spans="1:3" x14ac:dyDescent="0.3">
      <c r="A88" s="4">
        <v>238</v>
      </c>
      <c r="B88" s="6" t="s">
        <v>35</v>
      </c>
      <c r="C88" s="6">
        <v>47</v>
      </c>
    </row>
    <row r="89" spans="1:3" x14ac:dyDescent="0.3">
      <c r="A89" s="4">
        <v>168</v>
      </c>
      <c r="B89" s="6" t="s">
        <v>35</v>
      </c>
      <c r="C89" s="6">
        <v>47.3</v>
      </c>
    </row>
    <row r="90" spans="1:3" x14ac:dyDescent="0.3">
      <c r="A90" s="4">
        <v>370</v>
      </c>
      <c r="B90" s="6" t="s">
        <v>35</v>
      </c>
      <c r="C90" s="6">
        <v>47.3</v>
      </c>
    </row>
    <row r="91" spans="1:3" x14ac:dyDescent="0.3">
      <c r="A91" s="4">
        <v>1125</v>
      </c>
      <c r="B91" s="6" t="s">
        <v>35</v>
      </c>
      <c r="C91" s="6">
        <v>47.3</v>
      </c>
    </row>
    <row r="92" spans="1:3" x14ac:dyDescent="0.3">
      <c r="A92" s="4">
        <v>239</v>
      </c>
      <c r="B92" s="6" t="s">
        <v>35</v>
      </c>
      <c r="C92" s="6">
        <v>47.4</v>
      </c>
    </row>
    <row r="93" spans="1:3" x14ac:dyDescent="0.3">
      <c r="A93" s="4">
        <v>233</v>
      </c>
      <c r="B93" s="6" t="s">
        <v>35</v>
      </c>
      <c r="C93" s="6">
        <v>47.5</v>
      </c>
    </row>
    <row r="94" spans="1:3" x14ac:dyDescent="0.3">
      <c r="A94" s="4">
        <v>257</v>
      </c>
      <c r="B94" s="6" t="s">
        <v>35</v>
      </c>
      <c r="C94" s="6">
        <v>47.5</v>
      </c>
    </row>
    <row r="95" spans="1:3" x14ac:dyDescent="0.3">
      <c r="A95" s="4">
        <v>313</v>
      </c>
      <c r="B95" s="6" t="s">
        <v>35</v>
      </c>
      <c r="C95" s="6">
        <v>47.5</v>
      </c>
    </row>
    <row r="96" spans="1:3" x14ac:dyDescent="0.3">
      <c r="A96" s="4">
        <v>253</v>
      </c>
      <c r="B96" s="6" t="s">
        <v>35</v>
      </c>
      <c r="C96" s="6">
        <v>47.6</v>
      </c>
    </row>
    <row r="97" spans="1:3" x14ac:dyDescent="0.3">
      <c r="A97" s="4">
        <v>372</v>
      </c>
      <c r="B97" s="6" t="s">
        <v>35</v>
      </c>
      <c r="C97" s="6">
        <v>47.7</v>
      </c>
    </row>
    <row r="98" spans="1:3" x14ac:dyDescent="0.3">
      <c r="A98" s="4">
        <v>685</v>
      </c>
      <c r="B98" s="6" t="s">
        <v>35</v>
      </c>
      <c r="C98" s="6">
        <v>48</v>
      </c>
    </row>
    <row r="99" spans="1:3" x14ac:dyDescent="0.3">
      <c r="A99" s="4">
        <v>550</v>
      </c>
      <c r="B99" s="6" t="s">
        <v>35</v>
      </c>
      <c r="C99" s="6">
        <v>48.5</v>
      </c>
    </row>
    <row r="100" spans="1:3" x14ac:dyDescent="0.3">
      <c r="A100" s="4">
        <v>1055</v>
      </c>
      <c r="B100" s="6" t="s">
        <v>35</v>
      </c>
      <c r="C100" s="6">
        <v>48.8</v>
      </c>
    </row>
    <row r="101" spans="1:3" x14ac:dyDescent="0.3">
      <c r="A101" s="4">
        <v>201</v>
      </c>
      <c r="B101" s="6" t="s">
        <v>35</v>
      </c>
      <c r="C101" s="6">
        <v>49</v>
      </c>
    </row>
    <row r="102" spans="1:3" x14ac:dyDescent="0.3">
      <c r="A102" s="4">
        <v>517</v>
      </c>
      <c r="B102" s="6" t="s">
        <v>35</v>
      </c>
      <c r="C102" s="6">
        <v>49.1</v>
      </c>
    </row>
    <row r="103" spans="1:3" x14ac:dyDescent="0.3">
      <c r="A103" s="4">
        <v>654</v>
      </c>
      <c r="B103" s="6" t="s">
        <v>35</v>
      </c>
      <c r="C103" s="6">
        <v>49.2</v>
      </c>
    </row>
    <row r="104" spans="1:3" x14ac:dyDescent="0.3">
      <c r="A104" s="4">
        <v>547</v>
      </c>
      <c r="B104" s="6" t="s">
        <v>35</v>
      </c>
      <c r="C104" s="6">
        <v>49.4</v>
      </c>
    </row>
    <row r="105" spans="1:3" x14ac:dyDescent="0.3">
      <c r="A105" s="4">
        <v>393</v>
      </c>
      <c r="B105" s="6" t="s">
        <v>35</v>
      </c>
      <c r="C105" s="6">
        <v>49.5</v>
      </c>
    </row>
    <row r="106" spans="1:3" x14ac:dyDescent="0.3">
      <c r="A106" s="4">
        <v>1091</v>
      </c>
      <c r="B106" s="6" t="s">
        <v>35</v>
      </c>
      <c r="C106" s="6">
        <v>49.5</v>
      </c>
    </row>
    <row r="107" spans="1:3" x14ac:dyDescent="0.3">
      <c r="A107" s="4">
        <v>227</v>
      </c>
      <c r="B107" s="6" t="s">
        <v>35</v>
      </c>
      <c r="C107" s="6">
        <v>49.8</v>
      </c>
    </row>
    <row r="108" spans="1:3" x14ac:dyDescent="0.3">
      <c r="A108" s="4">
        <v>522</v>
      </c>
      <c r="B108" s="6" t="s">
        <v>35</v>
      </c>
      <c r="C108" s="6">
        <v>49.9</v>
      </c>
    </row>
    <row r="109" spans="1:3" x14ac:dyDescent="0.3">
      <c r="A109" s="4">
        <v>376</v>
      </c>
      <c r="B109" s="6" t="s">
        <v>35</v>
      </c>
      <c r="C109" s="6">
        <v>50</v>
      </c>
    </row>
    <row r="110" spans="1:3" x14ac:dyDescent="0.3">
      <c r="A110" s="4">
        <v>242</v>
      </c>
      <c r="B110" s="6" t="s">
        <v>35</v>
      </c>
      <c r="C110" s="6">
        <v>50.1</v>
      </c>
    </row>
    <row r="111" spans="1:3" x14ac:dyDescent="0.3">
      <c r="A111" s="4">
        <v>592</v>
      </c>
      <c r="B111" s="6" t="s">
        <v>35</v>
      </c>
      <c r="C111" s="6">
        <v>50.1</v>
      </c>
    </row>
    <row r="112" spans="1:3" x14ac:dyDescent="0.3">
      <c r="A112" s="4">
        <v>381</v>
      </c>
      <c r="B112" s="6" t="s">
        <v>35</v>
      </c>
      <c r="C112" s="6">
        <v>50.2</v>
      </c>
    </row>
    <row r="113" spans="1:3" x14ac:dyDescent="0.3">
      <c r="A113" s="4">
        <v>235</v>
      </c>
      <c r="B113" s="6" t="s">
        <v>35</v>
      </c>
      <c r="C113" s="6">
        <v>50.3</v>
      </c>
    </row>
    <row r="114" spans="1:3" x14ac:dyDescent="0.3">
      <c r="A114" s="4">
        <v>320</v>
      </c>
      <c r="B114" s="6" t="s">
        <v>35</v>
      </c>
      <c r="C114" s="6">
        <v>50.3</v>
      </c>
    </row>
    <row r="115" spans="1:3" x14ac:dyDescent="0.3">
      <c r="A115" s="4">
        <v>218</v>
      </c>
      <c r="B115" s="6" t="s">
        <v>35</v>
      </c>
      <c r="C115" s="6">
        <v>50.5</v>
      </c>
    </row>
    <row r="116" spans="1:3" x14ac:dyDescent="0.3">
      <c r="A116" s="4">
        <v>205</v>
      </c>
      <c r="B116" s="6" t="s">
        <v>35</v>
      </c>
      <c r="C116" s="6">
        <v>50.6</v>
      </c>
    </row>
    <row r="117" spans="1:3" x14ac:dyDescent="0.3">
      <c r="A117" s="4">
        <v>1046</v>
      </c>
      <c r="B117" s="6" t="s">
        <v>35</v>
      </c>
      <c r="C117" s="6">
        <v>50.7</v>
      </c>
    </row>
    <row r="118" spans="1:3" x14ac:dyDescent="0.3">
      <c r="A118" s="4">
        <v>208</v>
      </c>
      <c r="B118" s="6" t="s">
        <v>35</v>
      </c>
      <c r="C118" s="6">
        <v>51</v>
      </c>
    </row>
    <row r="119" spans="1:3" x14ac:dyDescent="0.3">
      <c r="A119" s="4">
        <v>601</v>
      </c>
      <c r="B119" s="6" t="s">
        <v>35</v>
      </c>
      <c r="C119" s="6">
        <v>51.3</v>
      </c>
    </row>
    <row r="120" spans="1:3" x14ac:dyDescent="0.3">
      <c r="A120" s="4">
        <v>391</v>
      </c>
      <c r="B120" s="6" t="s">
        <v>35</v>
      </c>
      <c r="C120" s="6">
        <v>51.4</v>
      </c>
    </row>
    <row r="121" spans="1:3" x14ac:dyDescent="0.3">
      <c r="A121" s="4">
        <v>197</v>
      </c>
      <c r="B121" s="6" t="s">
        <v>35</v>
      </c>
      <c r="C121" s="6">
        <v>51.8</v>
      </c>
    </row>
    <row r="122" spans="1:3" x14ac:dyDescent="0.3">
      <c r="A122" s="4">
        <v>668</v>
      </c>
      <c r="B122" s="6" t="s">
        <v>35</v>
      </c>
      <c r="C122" s="6">
        <v>52.1</v>
      </c>
    </row>
    <row r="123" spans="1:3" x14ac:dyDescent="0.3">
      <c r="A123" s="4">
        <v>240</v>
      </c>
      <c r="B123" s="6" t="s">
        <v>35</v>
      </c>
      <c r="C123" s="6">
        <v>52.2</v>
      </c>
    </row>
    <row r="124" spans="1:3" x14ac:dyDescent="0.3">
      <c r="A124" s="4">
        <v>193</v>
      </c>
      <c r="B124" s="6" t="s">
        <v>35</v>
      </c>
      <c r="C124" s="6">
        <v>52.3</v>
      </c>
    </row>
    <row r="125" spans="1:3" x14ac:dyDescent="0.3">
      <c r="A125" s="4">
        <v>474</v>
      </c>
      <c r="B125" s="6" t="s">
        <v>35</v>
      </c>
      <c r="C125" s="6">
        <v>52.3</v>
      </c>
    </row>
    <row r="126" spans="1:3" x14ac:dyDescent="0.3">
      <c r="A126" s="4">
        <v>850</v>
      </c>
      <c r="B126" s="6" t="s">
        <v>35</v>
      </c>
      <c r="C126" s="6">
        <v>52.6</v>
      </c>
    </row>
    <row r="127" spans="1:3" x14ac:dyDescent="0.3">
      <c r="A127" s="4">
        <v>1043</v>
      </c>
      <c r="B127" s="6" t="s">
        <v>35</v>
      </c>
      <c r="C127" s="6">
        <v>52.7</v>
      </c>
    </row>
    <row r="128" spans="1:3" x14ac:dyDescent="0.3">
      <c r="A128" s="4">
        <v>414</v>
      </c>
      <c r="B128" s="6" t="s">
        <v>35</v>
      </c>
      <c r="C128" s="6">
        <v>52.8</v>
      </c>
    </row>
    <row r="129" spans="1:3" x14ac:dyDescent="0.3">
      <c r="A129" s="4">
        <v>493</v>
      </c>
      <c r="B129" s="6" t="s">
        <v>35</v>
      </c>
      <c r="C129" s="6">
        <v>52.8</v>
      </c>
    </row>
    <row r="130" spans="1:3" x14ac:dyDescent="0.3">
      <c r="A130" s="4">
        <v>184</v>
      </c>
      <c r="B130" s="6" t="s">
        <v>35</v>
      </c>
      <c r="C130" s="6">
        <v>53</v>
      </c>
    </row>
    <row r="131" spans="1:3" x14ac:dyDescent="0.3">
      <c r="A131" s="4">
        <v>314</v>
      </c>
      <c r="B131" s="6" t="s">
        <v>35</v>
      </c>
      <c r="C131" s="6">
        <v>53</v>
      </c>
    </row>
    <row r="132" spans="1:3" x14ac:dyDescent="0.3">
      <c r="A132" s="4">
        <v>362</v>
      </c>
      <c r="B132" s="6" t="s">
        <v>35</v>
      </c>
      <c r="C132" s="6">
        <v>53.1</v>
      </c>
    </row>
    <row r="133" spans="1:3" x14ac:dyDescent="0.3">
      <c r="A133" s="4">
        <v>1092</v>
      </c>
      <c r="B133" s="6" t="s">
        <v>35</v>
      </c>
      <c r="C133" s="6">
        <v>53.5</v>
      </c>
    </row>
    <row r="134" spans="1:3" x14ac:dyDescent="0.3">
      <c r="A134" s="4">
        <v>688</v>
      </c>
      <c r="B134" s="6" t="s">
        <v>35</v>
      </c>
      <c r="C134" s="6">
        <v>53.6</v>
      </c>
    </row>
    <row r="135" spans="1:3" x14ac:dyDescent="0.3">
      <c r="A135" s="4">
        <v>244</v>
      </c>
      <c r="B135" s="6" t="s">
        <v>35</v>
      </c>
      <c r="C135" s="6">
        <v>53.7</v>
      </c>
    </row>
    <row r="136" spans="1:3" x14ac:dyDescent="0.3">
      <c r="A136" s="4">
        <v>216</v>
      </c>
      <c r="B136" s="6" t="s">
        <v>35</v>
      </c>
      <c r="C136" s="6">
        <v>54</v>
      </c>
    </row>
    <row r="137" spans="1:3" x14ac:dyDescent="0.3">
      <c r="A137" s="4">
        <v>303</v>
      </c>
      <c r="B137" s="6" t="s">
        <v>35</v>
      </c>
      <c r="C137" s="6">
        <v>54.2</v>
      </c>
    </row>
    <row r="138" spans="1:3" x14ac:dyDescent="0.3">
      <c r="A138" s="4">
        <v>418</v>
      </c>
      <c r="B138" s="6" t="s">
        <v>35</v>
      </c>
      <c r="C138" s="6">
        <v>54.4</v>
      </c>
    </row>
    <row r="139" spans="1:3" x14ac:dyDescent="0.3">
      <c r="A139" s="4">
        <v>298</v>
      </c>
      <c r="B139" s="6" t="s">
        <v>35</v>
      </c>
      <c r="C139" s="6">
        <v>54.5</v>
      </c>
    </row>
    <row r="140" spans="1:3" x14ac:dyDescent="0.3">
      <c r="A140" s="4">
        <v>302</v>
      </c>
      <c r="B140" s="6" t="s">
        <v>35</v>
      </c>
      <c r="C140" s="6">
        <v>54.5</v>
      </c>
    </row>
    <row r="141" spans="1:3" x14ac:dyDescent="0.3">
      <c r="A141" s="4">
        <v>1120</v>
      </c>
      <c r="B141" s="6" t="s">
        <v>35</v>
      </c>
      <c r="C141" s="6">
        <v>54.5</v>
      </c>
    </row>
    <row r="142" spans="1:3" x14ac:dyDescent="0.3">
      <c r="A142" s="4">
        <v>295</v>
      </c>
      <c r="B142" s="6" t="s">
        <v>35</v>
      </c>
      <c r="C142" s="6">
        <v>54.9</v>
      </c>
    </row>
    <row r="143" spans="1:3" x14ac:dyDescent="0.3">
      <c r="A143" s="4">
        <v>653</v>
      </c>
      <c r="B143" s="6" t="s">
        <v>35</v>
      </c>
      <c r="C143" s="6">
        <v>54.9</v>
      </c>
    </row>
    <row r="144" spans="1:3" x14ac:dyDescent="0.3">
      <c r="A144" s="4">
        <v>316</v>
      </c>
      <c r="B144" s="6" t="s">
        <v>35</v>
      </c>
      <c r="C144" s="6">
        <v>55</v>
      </c>
    </row>
    <row r="145" spans="1:3" x14ac:dyDescent="0.3">
      <c r="A145" s="4">
        <v>369</v>
      </c>
      <c r="B145" s="6" t="s">
        <v>35</v>
      </c>
      <c r="C145" s="6">
        <v>55.1</v>
      </c>
    </row>
    <row r="146" spans="1:3" x14ac:dyDescent="0.3">
      <c r="A146" s="4">
        <v>1119</v>
      </c>
      <c r="B146" s="6" t="s">
        <v>35</v>
      </c>
      <c r="C146" s="6">
        <v>55.4</v>
      </c>
    </row>
    <row r="147" spans="1:3" x14ac:dyDescent="0.3">
      <c r="A147" s="4">
        <v>165</v>
      </c>
      <c r="B147" s="6" t="s">
        <v>35</v>
      </c>
      <c r="C147" s="6">
        <v>55.5</v>
      </c>
    </row>
    <row r="148" spans="1:3" x14ac:dyDescent="0.3">
      <c r="A148" s="4">
        <v>351</v>
      </c>
      <c r="B148" s="6" t="s">
        <v>35</v>
      </c>
      <c r="C148" s="6">
        <v>55.6</v>
      </c>
    </row>
    <row r="149" spans="1:3" x14ac:dyDescent="0.3">
      <c r="A149" s="4">
        <v>634</v>
      </c>
      <c r="B149" s="6" t="s">
        <v>35</v>
      </c>
      <c r="C149" s="6">
        <v>55.6</v>
      </c>
    </row>
    <row r="150" spans="1:3" x14ac:dyDescent="0.3">
      <c r="A150" s="4">
        <v>395</v>
      </c>
      <c r="B150" s="6" t="s">
        <v>35</v>
      </c>
      <c r="C150" s="6">
        <v>55.8</v>
      </c>
    </row>
    <row r="151" spans="1:3" x14ac:dyDescent="0.3">
      <c r="A151" s="4">
        <v>375</v>
      </c>
      <c r="B151" s="6" t="s">
        <v>35</v>
      </c>
      <c r="C151" s="6">
        <v>55.9</v>
      </c>
    </row>
    <row r="152" spans="1:3" x14ac:dyDescent="0.3">
      <c r="A152" s="4">
        <v>263</v>
      </c>
      <c r="B152" s="6" t="s">
        <v>35</v>
      </c>
      <c r="C152" s="6">
        <v>56.1</v>
      </c>
    </row>
    <row r="153" spans="1:3" x14ac:dyDescent="0.3">
      <c r="A153" s="4">
        <v>691</v>
      </c>
      <c r="B153" s="6" t="s">
        <v>35</v>
      </c>
      <c r="C153" s="6">
        <v>56.2</v>
      </c>
    </row>
    <row r="154" spans="1:3" x14ac:dyDescent="0.3">
      <c r="A154" s="4">
        <v>1121</v>
      </c>
      <c r="B154" s="6" t="s">
        <v>35</v>
      </c>
      <c r="C154" s="6">
        <v>56.2</v>
      </c>
    </row>
    <row r="155" spans="1:3" x14ac:dyDescent="0.3">
      <c r="A155" s="4">
        <v>273</v>
      </c>
      <c r="B155" s="6" t="s">
        <v>35</v>
      </c>
      <c r="C155" s="6">
        <v>56.4</v>
      </c>
    </row>
    <row r="156" spans="1:3" x14ac:dyDescent="0.3">
      <c r="A156" s="4">
        <v>650</v>
      </c>
      <c r="B156" s="6" t="s">
        <v>35</v>
      </c>
      <c r="C156" s="6">
        <v>56.5</v>
      </c>
    </row>
    <row r="157" spans="1:3" x14ac:dyDescent="0.3">
      <c r="A157" s="4">
        <v>1094</v>
      </c>
      <c r="B157" s="6" t="s">
        <v>35</v>
      </c>
      <c r="C157" s="6">
        <v>56.5</v>
      </c>
    </row>
    <row r="158" spans="1:3" x14ac:dyDescent="0.3">
      <c r="A158" s="4">
        <v>1124</v>
      </c>
      <c r="B158" s="6" t="s">
        <v>35</v>
      </c>
      <c r="C158" s="6">
        <v>56.6</v>
      </c>
    </row>
    <row r="159" spans="1:3" x14ac:dyDescent="0.3">
      <c r="A159" s="4">
        <v>520</v>
      </c>
      <c r="B159" s="6" t="s">
        <v>35</v>
      </c>
      <c r="C159" s="6">
        <v>56.7</v>
      </c>
    </row>
    <row r="160" spans="1:3" x14ac:dyDescent="0.3">
      <c r="A160" s="4">
        <v>1050</v>
      </c>
      <c r="B160" s="6" t="s">
        <v>35</v>
      </c>
      <c r="C160" s="6">
        <v>57.1</v>
      </c>
    </row>
    <row r="161" spans="1:3" x14ac:dyDescent="0.3">
      <c r="A161" s="4">
        <v>1056</v>
      </c>
      <c r="B161" s="6" t="s">
        <v>35</v>
      </c>
      <c r="C161" s="6">
        <v>57.2</v>
      </c>
    </row>
    <row r="162" spans="1:3" x14ac:dyDescent="0.3">
      <c r="A162" s="4">
        <v>326</v>
      </c>
      <c r="B162" s="6" t="s">
        <v>35</v>
      </c>
      <c r="C162" s="6">
        <v>57.5</v>
      </c>
    </row>
    <row r="163" spans="1:3" x14ac:dyDescent="0.3">
      <c r="A163" s="4">
        <v>392</v>
      </c>
      <c r="B163" s="6" t="s">
        <v>35</v>
      </c>
      <c r="C163" s="6">
        <v>57.5</v>
      </c>
    </row>
    <row r="164" spans="1:3" x14ac:dyDescent="0.3">
      <c r="A164" s="4">
        <v>396</v>
      </c>
      <c r="B164" s="6" t="s">
        <v>35</v>
      </c>
      <c r="C164" s="6">
        <v>57.6</v>
      </c>
    </row>
    <row r="165" spans="1:3" x14ac:dyDescent="0.3">
      <c r="A165" s="4">
        <v>652</v>
      </c>
      <c r="B165" s="6" t="s">
        <v>35</v>
      </c>
      <c r="C165" s="6">
        <v>57.7</v>
      </c>
    </row>
    <row r="166" spans="1:3" x14ac:dyDescent="0.3">
      <c r="A166" s="4">
        <v>159</v>
      </c>
      <c r="B166" s="6" t="s">
        <v>35</v>
      </c>
      <c r="C166" s="6">
        <v>58</v>
      </c>
    </row>
    <row r="167" spans="1:3" x14ac:dyDescent="0.3">
      <c r="A167" s="4">
        <v>214</v>
      </c>
      <c r="B167" s="6" t="s">
        <v>35</v>
      </c>
      <c r="C167" s="6">
        <v>58</v>
      </c>
    </row>
    <row r="168" spans="1:3" x14ac:dyDescent="0.3">
      <c r="A168" s="4">
        <v>215</v>
      </c>
      <c r="B168" s="6" t="s">
        <v>35</v>
      </c>
      <c r="C168" s="6">
        <v>58</v>
      </c>
    </row>
    <row r="169" spans="1:3" x14ac:dyDescent="0.3">
      <c r="A169" s="4">
        <v>398</v>
      </c>
      <c r="B169" s="6" t="s">
        <v>35</v>
      </c>
      <c r="C169" s="6">
        <v>58.2</v>
      </c>
    </row>
    <row r="170" spans="1:3" x14ac:dyDescent="0.3">
      <c r="A170" s="4">
        <v>10</v>
      </c>
      <c r="B170" s="6" t="s">
        <v>35</v>
      </c>
      <c r="C170" s="6">
        <v>58.6</v>
      </c>
    </row>
    <row r="171" spans="1:3" x14ac:dyDescent="0.3">
      <c r="A171" s="4">
        <v>1044</v>
      </c>
      <c r="B171" s="6" t="s">
        <v>35</v>
      </c>
      <c r="C171" s="6">
        <v>58.7</v>
      </c>
    </row>
    <row r="172" spans="1:3" x14ac:dyDescent="0.3">
      <c r="A172" s="4">
        <v>256</v>
      </c>
      <c r="B172" s="6" t="s">
        <v>35</v>
      </c>
      <c r="C172" s="6">
        <v>59.2</v>
      </c>
    </row>
    <row r="173" spans="1:3" x14ac:dyDescent="0.3">
      <c r="A173" s="4">
        <v>385</v>
      </c>
      <c r="B173" s="6" t="s">
        <v>35</v>
      </c>
      <c r="C173" s="6">
        <v>59.2</v>
      </c>
    </row>
    <row r="174" spans="1:3" x14ac:dyDescent="0.3">
      <c r="A174" s="4">
        <v>966</v>
      </c>
      <c r="B174" s="6" t="s">
        <v>35</v>
      </c>
      <c r="C174" s="6">
        <v>59.7</v>
      </c>
    </row>
    <row r="175" spans="1:3" x14ac:dyDescent="0.3">
      <c r="A175" s="4">
        <v>306</v>
      </c>
      <c r="B175" s="6" t="s">
        <v>35</v>
      </c>
      <c r="C175" s="6">
        <v>59.9</v>
      </c>
    </row>
    <row r="176" spans="1:3" x14ac:dyDescent="0.3">
      <c r="A176" s="4">
        <v>540</v>
      </c>
      <c r="B176" s="6" t="s">
        <v>35</v>
      </c>
      <c r="C176" s="6">
        <v>60.1</v>
      </c>
    </row>
    <row r="177" spans="1:3" x14ac:dyDescent="0.3">
      <c r="A177" s="4">
        <v>1048</v>
      </c>
      <c r="B177" s="6" t="s">
        <v>35</v>
      </c>
      <c r="C177" s="6">
        <v>60.1</v>
      </c>
    </row>
    <row r="178" spans="1:3" x14ac:dyDescent="0.3">
      <c r="A178" s="4">
        <v>544</v>
      </c>
      <c r="B178" s="6" t="s">
        <v>35</v>
      </c>
      <c r="C178" s="6">
        <v>60.6</v>
      </c>
    </row>
    <row r="179" spans="1:3" x14ac:dyDescent="0.3">
      <c r="A179" s="4">
        <v>1045</v>
      </c>
      <c r="B179" s="6" t="s">
        <v>35</v>
      </c>
      <c r="C179" s="6">
        <v>60.7</v>
      </c>
    </row>
    <row r="180" spans="1:3" x14ac:dyDescent="0.3">
      <c r="A180" s="4">
        <v>965</v>
      </c>
      <c r="B180" s="6" t="s">
        <v>35</v>
      </c>
      <c r="C180" s="6">
        <v>60.8</v>
      </c>
    </row>
    <row r="181" spans="1:3" x14ac:dyDescent="0.3">
      <c r="A181" s="4">
        <v>844</v>
      </c>
      <c r="B181" s="6" t="s">
        <v>35</v>
      </c>
      <c r="C181" s="6">
        <v>61.1</v>
      </c>
    </row>
    <row r="182" spans="1:3" x14ac:dyDescent="0.3">
      <c r="A182" s="4">
        <v>181</v>
      </c>
      <c r="B182" s="6" t="s">
        <v>35</v>
      </c>
      <c r="C182" s="6">
        <v>61.2</v>
      </c>
    </row>
    <row r="183" spans="1:3" x14ac:dyDescent="0.3">
      <c r="A183" s="4">
        <v>390</v>
      </c>
      <c r="B183" s="6" t="s">
        <v>35</v>
      </c>
      <c r="C183" s="6">
        <v>61.3</v>
      </c>
    </row>
    <row r="184" spans="1:3" x14ac:dyDescent="0.3">
      <c r="A184" s="4">
        <v>384</v>
      </c>
      <c r="B184" s="6" t="s">
        <v>35</v>
      </c>
      <c r="C184" s="6">
        <v>61.5</v>
      </c>
    </row>
    <row r="185" spans="1:3" x14ac:dyDescent="0.3">
      <c r="A185" s="4">
        <v>1122</v>
      </c>
      <c r="B185" s="6" t="s">
        <v>35</v>
      </c>
      <c r="C185" s="6">
        <v>61.5</v>
      </c>
    </row>
    <row r="186" spans="1:3" x14ac:dyDescent="0.3">
      <c r="A186" s="4">
        <v>188</v>
      </c>
      <c r="B186" s="6" t="s">
        <v>35</v>
      </c>
      <c r="C186" s="6">
        <v>62.5</v>
      </c>
    </row>
    <row r="187" spans="1:3" x14ac:dyDescent="0.3">
      <c r="A187" s="4">
        <v>358</v>
      </c>
      <c r="B187" s="6" t="s">
        <v>35</v>
      </c>
      <c r="C187" s="6">
        <v>62.5</v>
      </c>
    </row>
    <row r="188" spans="1:3" x14ac:dyDescent="0.3">
      <c r="A188" s="4">
        <v>641</v>
      </c>
      <c r="B188" s="6" t="s">
        <v>35</v>
      </c>
      <c r="C188" s="6">
        <v>62.7</v>
      </c>
    </row>
    <row r="189" spans="1:3" x14ac:dyDescent="0.3">
      <c r="A189" s="4">
        <v>516</v>
      </c>
      <c r="B189" s="6" t="s">
        <v>35</v>
      </c>
      <c r="C189" s="6">
        <v>62.9</v>
      </c>
    </row>
    <row r="190" spans="1:3" x14ac:dyDescent="0.3">
      <c r="A190" s="4">
        <v>378</v>
      </c>
      <c r="B190" s="6" t="s">
        <v>35</v>
      </c>
      <c r="C190" s="6">
        <v>63.3</v>
      </c>
    </row>
    <row r="191" spans="1:3" x14ac:dyDescent="0.3">
      <c r="A191" s="4">
        <v>538</v>
      </c>
      <c r="B191" s="6" t="s">
        <v>35</v>
      </c>
      <c r="C191" s="6">
        <v>63.3</v>
      </c>
    </row>
    <row r="192" spans="1:3" x14ac:dyDescent="0.3">
      <c r="A192" s="4">
        <v>535</v>
      </c>
      <c r="B192" s="6" t="s">
        <v>35</v>
      </c>
      <c r="C192" s="6">
        <v>63.4</v>
      </c>
    </row>
    <row r="193" spans="1:3" x14ac:dyDescent="0.3">
      <c r="A193" s="4">
        <v>211</v>
      </c>
      <c r="B193" s="6" t="s">
        <v>35</v>
      </c>
      <c r="C193" s="6">
        <v>63.5</v>
      </c>
    </row>
    <row r="194" spans="1:3" x14ac:dyDescent="0.3">
      <c r="A194" s="4">
        <v>536</v>
      </c>
      <c r="B194" s="6" t="s">
        <v>35</v>
      </c>
      <c r="C194" s="6">
        <v>63.5</v>
      </c>
    </row>
    <row r="195" spans="1:3" x14ac:dyDescent="0.3">
      <c r="A195" s="4">
        <v>642</v>
      </c>
      <c r="B195" s="6" t="s">
        <v>35</v>
      </c>
      <c r="C195" s="6">
        <v>64.3</v>
      </c>
    </row>
    <row r="196" spans="1:3" x14ac:dyDescent="0.3">
      <c r="A196" s="4">
        <v>885</v>
      </c>
      <c r="B196" s="6" t="s">
        <v>35</v>
      </c>
      <c r="C196" s="6">
        <v>64.3</v>
      </c>
    </row>
    <row r="197" spans="1:3" x14ac:dyDescent="0.3">
      <c r="A197" s="4">
        <v>394</v>
      </c>
      <c r="B197" s="6" t="s">
        <v>35</v>
      </c>
      <c r="C197" s="6">
        <v>64.599999999999994</v>
      </c>
    </row>
    <row r="198" spans="1:3" x14ac:dyDescent="0.3">
      <c r="A198" s="4">
        <v>1106</v>
      </c>
      <c r="B198" s="6" t="s">
        <v>35</v>
      </c>
      <c r="C198" s="6">
        <v>65</v>
      </c>
    </row>
    <row r="199" spans="1:3" x14ac:dyDescent="0.3">
      <c r="A199" s="4">
        <v>651</v>
      </c>
      <c r="B199" s="6" t="s">
        <v>35</v>
      </c>
      <c r="C199" s="6">
        <v>65.3</v>
      </c>
    </row>
    <row r="200" spans="1:3" x14ac:dyDescent="0.3">
      <c r="A200" s="4">
        <v>519</v>
      </c>
      <c r="B200" s="6" t="s">
        <v>35</v>
      </c>
      <c r="C200" s="6">
        <v>66.5</v>
      </c>
    </row>
    <row r="201" spans="1:3" x14ac:dyDescent="0.3">
      <c r="A201" s="4">
        <v>411</v>
      </c>
      <c r="B201" s="6" t="s">
        <v>35</v>
      </c>
      <c r="C201" s="6">
        <v>66.599999999999994</v>
      </c>
    </row>
    <row r="202" spans="1:3" x14ac:dyDescent="0.3">
      <c r="A202" s="4">
        <v>1095</v>
      </c>
      <c r="B202" s="6" t="s">
        <v>35</v>
      </c>
      <c r="C202" s="6">
        <v>68.099999999999994</v>
      </c>
    </row>
    <row r="203" spans="1:3" x14ac:dyDescent="0.3">
      <c r="A203" s="20">
        <v>1083</v>
      </c>
      <c r="B203" s="21" t="s">
        <v>35</v>
      </c>
      <c r="C203" s="21">
        <v>77.8</v>
      </c>
    </row>
    <row r="204" spans="1:3" x14ac:dyDescent="0.3">
      <c r="A204" s="20">
        <v>1117</v>
      </c>
      <c r="B204" s="21" t="s">
        <v>35</v>
      </c>
      <c r="C204" s="21">
        <v>86.2</v>
      </c>
    </row>
    <row r="205" spans="1:3" x14ac:dyDescent="0.3">
      <c r="A205" s="22">
        <v>610</v>
      </c>
      <c r="B205" s="23" t="s">
        <v>44</v>
      </c>
      <c r="C205" s="23">
        <v>8.9600000000000009</v>
      </c>
    </row>
    <row r="206" spans="1:3" x14ac:dyDescent="0.3">
      <c r="A206" s="22">
        <v>808</v>
      </c>
      <c r="B206" s="23" t="s">
        <v>44</v>
      </c>
      <c r="C206" s="23">
        <v>10.4</v>
      </c>
    </row>
    <row r="207" spans="1:3" x14ac:dyDescent="0.3">
      <c r="A207" s="22">
        <v>839</v>
      </c>
      <c r="B207" s="23" t="s">
        <v>44</v>
      </c>
      <c r="C207" s="23">
        <v>11.2</v>
      </c>
    </row>
    <row r="208" spans="1:3" x14ac:dyDescent="0.3">
      <c r="A208" s="22">
        <v>609</v>
      </c>
      <c r="B208" s="23" t="s">
        <v>44</v>
      </c>
      <c r="C208" s="23">
        <v>18</v>
      </c>
    </row>
    <row r="209" spans="1:3" x14ac:dyDescent="0.3">
      <c r="A209" s="4">
        <v>495</v>
      </c>
      <c r="B209" s="6" t="s">
        <v>44</v>
      </c>
      <c r="C209" s="6">
        <v>27.2</v>
      </c>
    </row>
    <row r="210" spans="1:3" x14ac:dyDescent="0.3">
      <c r="A210" s="4">
        <v>506</v>
      </c>
      <c r="B210" s="6" t="s">
        <v>44</v>
      </c>
      <c r="C210" s="6">
        <v>27.5</v>
      </c>
    </row>
    <row r="211" spans="1:3" x14ac:dyDescent="0.3">
      <c r="A211" s="4">
        <v>542</v>
      </c>
      <c r="B211" s="6" t="s">
        <v>44</v>
      </c>
      <c r="C211" s="6">
        <v>28</v>
      </c>
    </row>
    <row r="212" spans="1:3" x14ac:dyDescent="0.3">
      <c r="A212" s="4">
        <v>459</v>
      </c>
      <c r="B212" s="6" t="s">
        <v>44</v>
      </c>
      <c r="C212" s="6">
        <v>28.4</v>
      </c>
    </row>
    <row r="213" spans="1:3" x14ac:dyDescent="0.3">
      <c r="A213" s="4">
        <v>659</v>
      </c>
      <c r="B213" s="6" t="s">
        <v>44</v>
      </c>
      <c r="C213" s="6">
        <v>28.5</v>
      </c>
    </row>
    <row r="214" spans="1:3" x14ac:dyDescent="0.3">
      <c r="A214" s="4">
        <v>488</v>
      </c>
      <c r="B214" s="6" t="s">
        <v>44</v>
      </c>
      <c r="C214" s="6">
        <v>28.6</v>
      </c>
    </row>
    <row r="215" spans="1:3" x14ac:dyDescent="0.3">
      <c r="A215" s="4">
        <v>529</v>
      </c>
      <c r="B215" s="6" t="s">
        <v>44</v>
      </c>
      <c r="C215" s="6">
        <v>28.6</v>
      </c>
    </row>
    <row r="216" spans="1:3" x14ac:dyDescent="0.3">
      <c r="A216" s="4">
        <v>525</v>
      </c>
      <c r="B216" s="6" t="s">
        <v>44</v>
      </c>
      <c r="C216" s="6">
        <v>28.7</v>
      </c>
    </row>
    <row r="217" spans="1:3" x14ac:dyDescent="0.3">
      <c r="A217" s="4">
        <v>499</v>
      </c>
      <c r="B217" s="6" t="s">
        <v>44</v>
      </c>
      <c r="C217" s="6">
        <v>29</v>
      </c>
    </row>
    <row r="218" spans="1:3" x14ac:dyDescent="0.3">
      <c r="A218" s="4">
        <v>1000</v>
      </c>
      <c r="B218" s="6" t="s">
        <v>44</v>
      </c>
      <c r="C218" s="6">
        <v>29</v>
      </c>
    </row>
    <row r="219" spans="1:3" x14ac:dyDescent="0.3">
      <c r="A219" s="4">
        <v>554</v>
      </c>
      <c r="B219" s="6" t="s">
        <v>44</v>
      </c>
      <c r="C219" s="6">
        <v>29.2</v>
      </c>
    </row>
    <row r="220" spans="1:3" x14ac:dyDescent="0.3">
      <c r="A220" s="4">
        <v>551</v>
      </c>
      <c r="B220" s="6" t="s">
        <v>44</v>
      </c>
      <c r="C220" s="6">
        <v>29.3</v>
      </c>
    </row>
    <row r="221" spans="1:3" x14ac:dyDescent="0.3">
      <c r="A221" s="4">
        <v>527</v>
      </c>
      <c r="B221" s="6" t="s">
        <v>44</v>
      </c>
      <c r="C221" s="6">
        <v>29.5</v>
      </c>
    </row>
    <row r="222" spans="1:3" x14ac:dyDescent="0.3">
      <c r="A222" s="4">
        <v>858</v>
      </c>
      <c r="B222" s="6" t="s">
        <v>44</v>
      </c>
      <c r="C222" s="6">
        <v>29.8</v>
      </c>
    </row>
    <row r="223" spans="1:3" x14ac:dyDescent="0.3">
      <c r="A223" s="4">
        <v>494</v>
      </c>
      <c r="B223" s="6" t="s">
        <v>44</v>
      </c>
      <c r="C223" s="6">
        <v>30</v>
      </c>
    </row>
    <row r="224" spans="1:3" x14ac:dyDescent="0.3">
      <c r="A224" s="4">
        <v>553</v>
      </c>
      <c r="B224" s="6" t="s">
        <v>44</v>
      </c>
      <c r="C224" s="6">
        <v>30</v>
      </c>
    </row>
    <row r="225" spans="1:3" x14ac:dyDescent="0.3">
      <c r="A225" s="4">
        <v>548</v>
      </c>
      <c r="B225" s="6" t="s">
        <v>44</v>
      </c>
      <c r="C225" s="6">
        <v>30.1</v>
      </c>
    </row>
    <row r="226" spans="1:3" x14ac:dyDescent="0.3">
      <c r="A226" s="4">
        <v>1001</v>
      </c>
      <c r="B226" s="6" t="s">
        <v>44</v>
      </c>
      <c r="C226" s="6">
        <v>30.2</v>
      </c>
    </row>
    <row r="227" spans="1:3" x14ac:dyDescent="0.3">
      <c r="A227" s="4">
        <v>534</v>
      </c>
      <c r="B227" s="6" t="s">
        <v>44</v>
      </c>
      <c r="C227" s="6">
        <v>30.4</v>
      </c>
    </row>
    <row r="228" spans="1:3" x14ac:dyDescent="0.3">
      <c r="A228" s="4">
        <v>482</v>
      </c>
      <c r="B228" s="6" t="s">
        <v>44</v>
      </c>
      <c r="C228" s="6">
        <v>30.6</v>
      </c>
    </row>
    <row r="229" spans="1:3" x14ac:dyDescent="0.3">
      <c r="A229" s="4">
        <v>555</v>
      </c>
      <c r="B229" s="6" t="s">
        <v>44</v>
      </c>
      <c r="C229" s="6">
        <v>30.6</v>
      </c>
    </row>
    <row r="230" spans="1:3" x14ac:dyDescent="0.3">
      <c r="A230" s="4">
        <v>497</v>
      </c>
      <c r="B230" s="6" t="s">
        <v>44</v>
      </c>
      <c r="C230" s="6">
        <v>30.8</v>
      </c>
    </row>
    <row r="231" spans="1:3" x14ac:dyDescent="0.3">
      <c r="A231" s="4">
        <v>265</v>
      </c>
      <c r="B231" s="6" t="s">
        <v>44</v>
      </c>
      <c r="C231" s="6">
        <v>31</v>
      </c>
    </row>
    <row r="232" spans="1:3" x14ac:dyDescent="0.3">
      <c r="A232" s="4">
        <v>1063</v>
      </c>
      <c r="B232" s="6" t="s">
        <v>44</v>
      </c>
      <c r="C232" s="6">
        <v>31.3</v>
      </c>
    </row>
    <row r="233" spans="1:3" x14ac:dyDescent="0.3">
      <c r="A233" s="4">
        <v>485</v>
      </c>
      <c r="B233" s="6" t="s">
        <v>44</v>
      </c>
      <c r="C233" s="6">
        <v>31.4</v>
      </c>
    </row>
    <row r="234" spans="1:3" x14ac:dyDescent="0.3">
      <c r="A234" s="4">
        <v>662</v>
      </c>
      <c r="B234" s="6" t="s">
        <v>44</v>
      </c>
      <c r="C234" s="6">
        <v>31.5</v>
      </c>
    </row>
    <row r="235" spans="1:3" x14ac:dyDescent="0.3">
      <c r="A235" s="4">
        <v>1061</v>
      </c>
      <c r="B235" s="6" t="s">
        <v>44</v>
      </c>
      <c r="C235" s="6">
        <v>31.5</v>
      </c>
    </row>
    <row r="236" spans="1:3" x14ac:dyDescent="0.3">
      <c r="A236" s="4">
        <v>1006</v>
      </c>
      <c r="B236" s="6" t="s">
        <v>44</v>
      </c>
      <c r="C236" s="6">
        <v>31.6</v>
      </c>
    </row>
    <row r="237" spans="1:3" x14ac:dyDescent="0.3">
      <c r="A237" s="4">
        <v>556</v>
      </c>
      <c r="B237" s="6" t="s">
        <v>44</v>
      </c>
      <c r="C237" s="6">
        <v>31.7</v>
      </c>
    </row>
    <row r="238" spans="1:3" x14ac:dyDescent="0.3">
      <c r="A238" s="4">
        <v>486</v>
      </c>
      <c r="B238" s="6" t="s">
        <v>44</v>
      </c>
      <c r="C238" s="6">
        <v>31.8</v>
      </c>
    </row>
    <row r="239" spans="1:3" x14ac:dyDescent="0.3">
      <c r="A239" s="4">
        <v>461</v>
      </c>
      <c r="B239" s="6" t="s">
        <v>44</v>
      </c>
      <c r="C239" s="6">
        <v>32</v>
      </c>
    </row>
    <row r="240" spans="1:3" x14ac:dyDescent="0.3">
      <c r="A240" s="4">
        <v>1062</v>
      </c>
      <c r="B240" s="6" t="s">
        <v>44</v>
      </c>
      <c r="C240" s="6">
        <v>32</v>
      </c>
    </row>
    <row r="241" spans="1:3" x14ac:dyDescent="0.3">
      <c r="A241" s="4">
        <v>509</v>
      </c>
      <c r="B241" s="6" t="s">
        <v>44</v>
      </c>
      <c r="C241" s="6">
        <v>32.1</v>
      </c>
    </row>
    <row r="242" spans="1:3" x14ac:dyDescent="0.3">
      <c r="A242" s="4">
        <v>595</v>
      </c>
      <c r="B242" s="6" t="s">
        <v>44</v>
      </c>
      <c r="C242" s="6">
        <v>32.1</v>
      </c>
    </row>
    <row r="243" spans="1:3" x14ac:dyDescent="0.3">
      <c r="A243" s="4">
        <v>513</v>
      </c>
      <c r="B243" s="6" t="s">
        <v>44</v>
      </c>
      <c r="C243" s="6">
        <v>32.5</v>
      </c>
    </row>
    <row r="244" spans="1:3" x14ac:dyDescent="0.3">
      <c r="A244" s="4">
        <v>465</v>
      </c>
      <c r="B244" s="6" t="s">
        <v>44</v>
      </c>
      <c r="C244" s="6">
        <v>32.6</v>
      </c>
    </row>
    <row r="245" spans="1:3" x14ac:dyDescent="0.3">
      <c r="A245" s="4">
        <v>1003</v>
      </c>
      <c r="B245" s="6" t="s">
        <v>44</v>
      </c>
      <c r="C245" s="6">
        <v>32.6</v>
      </c>
    </row>
    <row r="246" spans="1:3" x14ac:dyDescent="0.3">
      <c r="A246" s="4">
        <v>1004</v>
      </c>
      <c r="B246" s="6" t="s">
        <v>44</v>
      </c>
      <c r="C246" s="6">
        <v>32.6</v>
      </c>
    </row>
    <row r="247" spans="1:3" x14ac:dyDescent="0.3">
      <c r="A247" s="4">
        <v>464</v>
      </c>
      <c r="B247" s="6" t="s">
        <v>44</v>
      </c>
      <c r="C247" s="6">
        <v>33.299999999999997</v>
      </c>
    </row>
    <row r="248" spans="1:3" x14ac:dyDescent="0.3">
      <c r="A248" s="4">
        <v>504</v>
      </c>
      <c r="B248" s="6" t="s">
        <v>44</v>
      </c>
      <c r="C248" s="6">
        <v>33.4</v>
      </c>
    </row>
    <row r="249" spans="1:3" x14ac:dyDescent="0.3">
      <c r="A249" s="4">
        <v>248</v>
      </c>
      <c r="B249" s="6" t="s">
        <v>44</v>
      </c>
      <c r="C249" s="6">
        <v>33.5</v>
      </c>
    </row>
    <row r="250" spans="1:3" x14ac:dyDescent="0.3">
      <c r="A250" s="4">
        <v>1064</v>
      </c>
      <c r="B250" s="6" t="s">
        <v>44</v>
      </c>
      <c r="C250" s="6">
        <v>33.5</v>
      </c>
    </row>
    <row r="251" spans="1:3" x14ac:dyDescent="0.3">
      <c r="A251" s="4">
        <v>360</v>
      </c>
      <c r="B251" s="6" t="s">
        <v>44</v>
      </c>
      <c r="C251" s="6">
        <v>33.6</v>
      </c>
    </row>
    <row r="252" spans="1:3" x14ac:dyDescent="0.3">
      <c r="A252" s="4">
        <v>463</v>
      </c>
      <c r="B252" s="6" t="s">
        <v>44</v>
      </c>
      <c r="C252" s="6">
        <v>33.700000000000003</v>
      </c>
    </row>
    <row r="253" spans="1:3" x14ac:dyDescent="0.3">
      <c r="A253" s="4">
        <v>1100</v>
      </c>
      <c r="B253" s="6" t="s">
        <v>44</v>
      </c>
      <c r="C253" s="6">
        <v>33.9</v>
      </c>
    </row>
    <row r="254" spans="1:3" x14ac:dyDescent="0.3">
      <c r="A254" s="4">
        <v>359</v>
      </c>
      <c r="B254" s="6" t="s">
        <v>44</v>
      </c>
      <c r="C254" s="6">
        <v>34</v>
      </c>
    </row>
    <row r="255" spans="1:3" x14ac:dyDescent="0.3">
      <c r="A255" s="4">
        <v>1054</v>
      </c>
      <c r="B255" s="6" t="s">
        <v>44</v>
      </c>
      <c r="C255" s="6">
        <v>34</v>
      </c>
    </row>
    <row r="256" spans="1:3" x14ac:dyDescent="0.3">
      <c r="A256" s="4">
        <v>468</v>
      </c>
      <c r="B256" s="6" t="s">
        <v>44</v>
      </c>
      <c r="C256" s="6">
        <v>34.200000000000003</v>
      </c>
    </row>
    <row r="257" spans="1:3" x14ac:dyDescent="0.3">
      <c r="A257" s="4">
        <v>207</v>
      </c>
      <c r="B257" s="6" t="s">
        <v>44</v>
      </c>
      <c r="C257" s="6">
        <v>34.299999999999997</v>
      </c>
    </row>
    <row r="258" spans="1:3" x14ac:dyDescent="0.3">
      <c r="A258" s="4">
        <v>476</v>
      </c>
      <c r="B258" s="6" t="s">
        <v>44</v>
      </c>
      <c r="C258" s="6">
        <v>34.299999999999997</v>
      </c>
    </row>
    <row r="259" spans="1:3" x14ac:dyDescent="0.3">
      <c r="A259" s="4">
        <v>590</v>
      </c>
      <c r="B259" s="6" t="s">
        <v>44</v>
      </c>
      <c r="C259" s="6">
        <v>34.5</v>
      </c>
    </row>
    <row r="260" spans="1:3" x14ac:dyDescent="0.3">
      <c r="A260" s="4">
        <v>530</v>
      </c>
      <c r="B260" s="6" t="s">
        <v>44</v>
      </c>
      <c r="C260" s="6">
        <v>34.9</v>
      </c>
    </row>
    <row r="261" spans="1:3" x14ac:dyDescent="0.3">
      <c r="A261" s="4">
        <v>1052</v>
      </c>
      <c r="B261" s="6" t="s">
        <v>44</v>
      </c>
      <c r="C261" s="6">
        <v>35</v>
      </c>
    </row>
    <row r="262" spans="1:3" x14ac:dyDescent="0.3">
      <c r="A262" s="4">
        <v>621</v>
      </c>
      <c r="B262" s="6" t="s">
        <v>44</v>
      </c>
      <c r="C262" s="6">
        <v>35.1</v>
      </c>
    </row>
    <row r="263" spans="1:3" x14ac:dyDescent="0.3">
      <c r="A263" s="4">
        <v>245</v>
      </c>
      <c r="B263" s="6" t="s">
        <v>44</v>
      </c>
      <c r="C263" s="6">
        <v>35.200000000000003</v>
      </c>
    </row>
    <row r="264" spans="1:3" x14ac:dyDescent="0.3">
      <c r="A264" s="4">
        <v>460</v>
      </c>
      <c r="B264" s="6" t="s">
        <v>44</v>
      </c>
      <c r="C264" s="6">
        <v>36.1</v>
      </c>
    </row>
    <row r="265" spans="1:3" x14ac:dyDescent="0.3">
      <c r="A265" s="4">
        <v>458</v>
      </c>
      <c r="B265" s="6" t="s">
        <v>44</v>
      </c>
      <c r="C265" s="6">
        <v>36.5</v>
      </c>
    </row>
    <row r="266" spans="1:3" x14ac:dyDescent="0.3">
      <c r="A266" s="4">
        <v>196</v>
      </c>
      <c r="B266" s="6" t="s">
        <v>44</v>
      </c>
      <c r="C266" s="6">
        <v>36.799999999999997</v>
      </c>
    </row>
    <row r="267" spans="1:3" x14ac:dyDescent="0.3">
      <c r="A267" s="4">
        <v>518</v>
      </c>
      <c r="B267" s="6" t="s">
        <v>44</v>
      </c>
      <c r="C267" s="6">
        <v>36.799999999999997</v>
      </c>
    </row>
    <row r="268" spans="1:3" x14ac:dyDescent="0.3">
      <c r="A268" s="4">
        <v>852</v>
      </c>
      <c r="B268" s="6" t="s">
        <v>44</v>
      </c>
      <c r="C268" s="6">
        <v>36.799999999999997</v>
      </c>
    </row>
    <row r="269" spans="1:3" x14ac:dyDescent="0.3">
      <c r="A269" s="4">
        <v>614</v>
      </c>
      <c r="B269" s="6" t="s">
        <v>44</v>
      </c>
      <c r="C269" s="6">
        <v>37</v>
      </c>
    </row>
    <row r="270" spans="1:3" x14ac:dyDescent="0.3">
      <c r="A270" s="4">
        <v>658</v>
      </c>
      <c r="B270" s="6" t="s">
        <v>44</v>
      </c>
      <c r="C270" s="6">
        <v>37</v>
      </c>
    </row>
    <row r="271" spans="1:3" x14ac:dyDescent="0.3">
      <c r="A271" s="4">
        <v>1018</v>
      </c>
      <c r="B271" s="6" t="s">
        <v>44</v>
      </c>
      <c r="C271" s="6">
        <v>37.200000000000003</v>
      </c>
    </row>
    <row r="272" spans="1:3" x14ac:dyDescent="0.3">
      <c r="A272" s="4">
        <v>386</v>
      </c>
      <c r="B272" s="6" t="s">
        <v>44</v>
      </c>
      <c r="C272" s="6">
        <v>37.5</v>
      </c>
    </row>
    <row r="273" spans="1:3" x14ac:dyDescent="0.3">
      <c r="A273" s="4">
        <v>998</v>
      </c>
      <c r="B273" s="6" t="s">
        <v>44</v>
      </c>
      <c r="C273" s="6">
        <v>37.700000000000003</v>
      </c>
    </row>
    <row r="274" spans="1:3" x14ac:dyDescent="0.3">
      <c r="A274" s="4">
        <v>498</v>
      </c>
      <c r="B274" s="6" t="s">
        <v>44</v>
      </c>
      <c r="C274" s="6">
        <v>37.9</v>
      </c>
    </row>
    <row r="275" spans="1:3" x14ac:dyDescent="0.3">
      <c r="A275" s="4">
        <v>164</v>
      </c>
      <c r="B275" s="6" t="s">
        <v>44</v>
      </c>
      <c r="C275" s="6">
        <v>38</v>
      </c>
    </row>
    <row r="276" spans="1:3" x14ac:dyDescent="0.3">
      <c r="A276" s="4">
        <v>213</v>
      </c>
      <c r="B276" s="6" t="s">
        <v>44</v>
      </c>
      <c r="C276" s="6">
        <v>38</v>
      </c>
    </row>
    <row r="277" spans="1:3" x14ac:dyDescent="0.3">
      <c r="A277" s="4">
        <v>678</v>
      </c>
      <c r="B277" s="6" t="s">
        <v>44</v>
      </c>
      <c r="C277" s="6">
        <v>38</v>
      </c>
    </row>
    <row r="278" spans="1:3" x14ac:dyDescent="0.3">
      <c r="A278" s="4">
        <v>682</v>
      </c>
      <c r="B278" s="6" t="s">
        <v>44</v>
      </c>
      <c r="C278" s="6">
        <v>38.1</v>
      </c>
    </row>
    <row r="279" spans="1:3" x14ac:dyDescent="0.3">
      <c r="A279" s="4">
        <v>616</v>
      </c>
      <c r="B279" s="6" t="s">
        <v>44</v>
      </c>
      <c r="C279" s="6">
        <v>38.6</v>
      </c>
    </row>
    <row r="280" spans="1:3" x14ac:dyDescent="0.3">
      <c r="A280" s="4">
        <v>410</v>
      </c>
      <c r="B280" s="6" t="s">
        <v>44</v>
      </c>
      <c r="C280" s="6">
        <v>38.799999999999997</v>
      </c>
    </row>
    <row r="281" spans="1:3" x14ac:dyDescent="0.3">
      <c r="A281" s="4">
        <v>1058</v>
      </c>
      <c r="B281" s="6" t="s">
        <v>44</v>
      </c>
      <c r="C281" s="6">
        <v>38.799999999999997</v>
      </c>
    </row>
    <row r="282" spans="1:3" x14ac:dyDescent="0.3">
      <c r="A282" s="4">
        <v>296</v>
      </c>
      <c r="B282" s="6" t="s">
        <v>44</v>
      </c>
      <c r="C282" s="6">
        <v>39</v>
      </c>
    </row>
    <row r="283" spans="1:3" x14ac:dyDescent="0.3">
      <c r="A283" s="4">
        <v>309</v>
      </c>
      <c r="B283" s="6" t="s">
        <v>44</v>
      </c>
      <c r="C283" s="6">
        <v>39</v>
      </c>
    </row>
    <row r="284" spans="1:3" x14ac:dyDescent="0.3">
      <c r="A284" s="4">
        <v>1010</v>
      </c>
      <c r="B284" s="6" t="s">
        <v>44</v>
      </c>
      <c r="C284" s="6">
        <v>39.1</v>
      </c>
    </row>
    <row r="285" spans="1:3" x14ac:dyDescent="0.3">
      <c r="A285" s="4">
        <v>246</v>
      </c>
      <c r="B285" s="6" t="s">
        <v>44</v>
      </c>
      <c r="C285" s="6">
        <v>39.299999999999997</v>
      </c>
    </row>
    <row r="286" spans="1:3" x14ac:dyDescent="0.3">
      <c r="A286" s="4">
        <v>630</v>
      </c>
      <c r="B286" s="6" t="s">
        <v>44</v>
      </c>
      <c r="C286" s="6">
        <v>39.4</v>
      </c>
    </row>
    <row r="287" spans="1:3" x14ac:dyDescent="0.3">
      <c r="A287" s="4">
        <v>618</v>
      </c>
      <c r="B287" s="6" t="s">
        <v>44</v>
      </c>
      <c r="C287" s="6">
        <v>39.5</v>
      </c>
    </row>
    <row r="288" spans="1:3" x14ac:dyDescent="0.3">
      <c r="A288" s="4">
        <v>206</v>
      </c>
      <c r="B288" s="6" t="s">
        <v>44</v>
      </c>
      <c r="C288" s="6">
        <v>40</v>
      </c>
    </row>
    <row r="289" spans="1:3" x14ac:dyDescent="0.3">
      <c r="A289" s="4">
        <v>674</v>
      </c>
      <c r="B289" s="6" t="s">
        <v>44</v>
      </c>
      <c r="C289" s="6">
        <v>40</v>
      </c>
    </row>
    <row r="290" spans="1:3" x14ac:dyDescent="0.3">
      <c r="A290" s="4">
        <v>619</v>
      </c>
      <c r="B290" s="6" t="s">
        <v>44</v>
      </c>
      <c r="C290" s="6">
        <v>40.1</v>
      </c>
    </row>
    <row r="291" spans="1:3" x14ac:dyDescent="0.3">
      <c r="A291" s="4">
        <v>231</v>
      </c>
      <c r="B291" s="6" t="s">
        <v>44</v>
      </c>
      <c r="C291" s="6">
        <v>40.200000000000003</v>
      </c>
    </row>
    <row r="292" spans="1:3" x14ac:dyDescent="0.3">
      <c r="A292" s="4">
        <v>304</v>
      </c>
      <c r="B292" s="6" t="s">
        <v>44</v>
      </c>
      <c r="C292" s="6">
        <v>40.200000000000003</v>
      </c>
    </row>
    <row r="293" spans="1:3" x14ac:dyDescent="0.3">
      <c r="A293" s="4">
        <v>383</v>
      </c>
      <c r="B293" s="6" t="s">
        <v>44</v>
      </c>
      <c r="C293" s="6">
        <v>40.200000000000003</v>
      </c>
    </row>
    <row r="294" spans="1:3" x14ac:dyDescent="0.3">
      <c r="A294" s="4">
        <v>1020</v>
      </c>
      <c r="B294" s="6" t="s">
        <v>44</v>
      </c>
      <c r="C294" s="6">
        <v>40.299999999999997</v>
      </c>
    </row>
    <row r="295" spans="1:3" x14ac:dyDescent="0.3">
      <c r="A295" s="4">
        <v>187</v>
      </c>
      <c r="B295" s="6" t="s">
        <v>44</v>
      </c>
      <c r="C295" s="6">
        <v>40.4</v>
      </c>
    </row>
    <row r="296" spans="1:3" x14ac:dyDescent="0.3">
      <c r="A296" s="4">
        <v>337</v>
      </c>
      <c r="B296" s="6" t="s">
        <v>44</v>
      </c>
      <c r="C296" s="6">
        <v>40.5</v>
      </c>
    </row>
    <row r="297" spans="1:3" x14ac:dyDescent="0.3">
      <c r="A297" s="4">
        <v>539</v>
      </c>
      <c r="B297" s="6" t="s">
        <v>44</v>
      </c>
      <c r="C297" s="6">
        <v>40.5</v>
      </c>
    </row>
    <row r="298" spans="1:3" x14ac:dyDescent="0.3">
      <c r="A298" s="4">
        <v>511</v>
      </c>
      <c r="B298" s="6" t="s">
        <v>44</v>
      </c>
      <c r="C298" s="6">
        <v>40.6</v>
      </c>
    </row>
    <row r="299" spans="1:3" x14ac:dyDescent="0.3">
      <c r="A299" s="4">
        <v>588</v>
      </c>
      <c r="B299" s="6" t="s">
        <v>44</v>
      </c>
      <c r="C299" s="6">
        <v>40.6</v>
      </c>
    </row>
    <row r="300" spans="1:3" x14ac:dyDescent="0.3">
      <c r="A300" s="4">
        <v>1070</v>
      </c>
      <c r="B300" s="6" t="s">
        <v>44</v>
      </c>
      <c r="C300" s="6">
        <v>40.6</v>
      </c>
    </row>
    <row r="301" spans="1:3" x14ac:dyDescent="0.3">
      <c r="A301" s="4">
        <v>228</v>
      </c>
      <c r="B301" s="6" t="s">
        <v>44</v>
      </c>
      <c r="C301" s="6">
        <v>40.700000000000003</v>
      </c>
    </row>
    <row r="302" spans="1:3" x14ac:dyDescent="0.3">
      <c r="A302" s="4">
        <v>199</v>
      </c>
      <c r="B302" s="6" t="s">
        <v>44</v>
      </c>
      <c r="C302" s="6">
        <v>40.799999999999997</v>
      </c>
    </row>
    <row r="303" spans="1:3" x14ac:dyDescent="0.3">
      <c r="A303" s="4">
        <v>252</v>
      </c>
      <c r="B303" s="6" t="s">
        <v>44</v>
      </c>
      <c r="C303" s="6">
        <v>40.799999999999997</v>
      </c>
    </row>
    <row r="304" spans="1:3" x14ac:dyDescent="0.3">
      <c r="A304" s="4">
        <v>456</v>
      </c>
      <c r="B304" s="6" t="s">
        <v>44</v>
      </c>
      <c r="C304" s="6">
        <v>40.799999999999997</v>
      </c>
    </row>
    <row r="305" spans="1:3" x14ac:dyDescent="0.3">
      <c r="A305" s="4">
        <v>1126</v>
      </c>
      <c r="B305" s="6" t="s">
        <v>44</v>
      </c>
      <c r="C305" s="6">
        <v>40.799999999999997</v>
      </c>
    </row>
    <row r="306" spans="1:3" x14ac:dyDescent="0.3">
      <c r="A306" s="4">
        <v>322</v>
      </c>
      <c r="B306" s="6" t="s">
        <v>44</v>
      </c>
      <c r="C306" s="6">
        <v>40.9</v>
      </c>
    </row>
    <row r="307" spans="1:3" x14ac:dyDescent="0.3">
      <c r="A307" s="4">
        <v>1152</v>
      </c>
      <c r="B307" s="6" t="s">
        <v>44</v>
      </c>
      <c r="C307" s="6">
        <v>40.9</v>
      </c>
    </row>
    <row r="308" spans="1:3" x14ac:dyDescent="0.3">
      <c r="A308" s="4">
        <v>301</v>
      </c>
      <c r="B308" s="6" t="s">
        <v>44</v>
      </c>
      <c r="C308" s="6">
        <v>41</v>
      </c>
    </row>
    <row r="309" spans="1:3" x14ac:dyDescent="0.3">
      <c r="A309" s="4">
        <v>333</v>
      </c>
      <c r="B309" s="6" t="s">
        <v>44</v>
      </c>
      <c r="C309" s="6">
        <v>41.1</v>
      </c>
    </row>
    <row r="310" spans="1:3" x14ac:dyDescent="0.3">
      <c r="A310" s="4">
        <v>851</v>
      </c>
      <c r="B310" s="6" t="s">
        <v>44</v>
      </c>
      <c r="C310" s="6">
        <v>41.1</v>
      </c>
    </row>
    <row r="311" spans="1:3" x14ac:dyDescent="0.3">
      <c r="A311" s="4">
        <v>671</v>
      </c>
      <c r="B311" s="6" t="s">
        <v>44</v>
      </c>
      <c r="C311" s="6">
        <v>41.2</v>
      </c>
    </row>
    <row r="312" spans="1:3" x14ac:dyDescent="0.3">
      <c r="A312" s="4">
        <v>232</v>
      </c>
      <c r="B312" s="6" t="s">
        <v>44</v>
      </c>
      <c r="C312" s="6">
        <v>41.4</v>
      </c>
    </row>
    <row r="313" spans="1:3" x14ac:dyDescent="0.3">
      <c r="A313" s="4">
        <v>1009</v>
      </c>
      <c r="B313" s="6" t="s">
        <v>44</v>
      </c>
      <c r="C313" s="6">
        <v>41.4</v>
      </c>
    </row>
    <row r="314" spans="1:3" x14ac:dyDescent="0.3">
      <c r="A314" s="4">
        <v>190</v>
      </c>
      <c r="B314" s="6" t="s">
        <v>44</v>
      </c>
      <c r="C314" s="6">
        <v>41.5</v>
      </c>
    </row>
    <row r="315" spans="1:3" x14ac:dyDescent="0.3">
      <c r="A315" s="4">
        <v>230</v>
      </c>
      <c r="B315" s="6" t="s">
        <v>44</v>
      </c>
      <c r="C315" s="6">
        <v>41.5</v>
      </c>
    </row>
    <row r="316" spans="1:3" x14ac:dyDescent="0.3">
      <c r="A316" s="4">
        <v>994</v>
      </c>
      <c r="B316" s="6" t="s">
        <v>44</v>
      </c>
      <c r="C316" s="6">
        <v>41.5</v>
      </c>
    </row>
    <row r="317" spans="1:3" x14ac:dyDescent="0.3">
      <c r="A317" s="4">
        <v>373</v>
      </c>
      <c r="B317" s="6" t="s">
        <v>44</v>
      </c>
      <c r="C317" s="6">
        <v>41.6</v>
      </c>
    </row>
    <row r="318" spans="1:3" x14ac:dyDescent="0.3">
      <c r="A318" s="4">
        <v>677</v>
      </c>
      <c r="B318" s="6" t="s">
        <v>44</v>
      </c>
      <c r="C318" s="6">
        <v>41.6</v>
      </c>
    </row>
    <row r="319" spans="1:3" x14ac:dyDescent="0.3">
      <c r="A319" s="4">
        <v>1075</v>
      </c>
      <c r="B319" s="6" t="s">
        <v>44</v>
      </c>
      <c r="C319" s="6">
        <v>41.6</v>
      </c>
    </row>
    <row r="320" spans="1:3" x14ac:dyDescent="0.3">
      <c r="A320" s="4">
        <v>995</v>
      </c>
      <c r="B320" s="6" t="s">
        <v>44</v>
      </c>
      <c r="C320" s="6">
        <v>41.8</v>
      </c>
    </row>
    <row r="321" spans="1:3" x14ac:dyDescent="0.3">
      <c r="A321" s="4">
        <v>327</v>
      </c>
      <c r="B321" s="6" t="s">
        <v>44</v>
      </c>
      <c r="C321" s="6">
        <v>41.9</v>
      </c>
    </row>
    <row r="322" spans="1:3" x14ac:dyDescent="0.3">
      <c r="A322" s="4">
        <v>999</v>
      </c>
      <c r="B322" s="6" t="s">
        <v>44</v>
      </c>
      <c r="C322" s="6">
        <v>41.9</v>
      </c>
    </row>
    <row r="323" spans="1:3" x14ac:dyDescent="0.3">
      <c r="A323" s="4">
        <v>319</v>
      </c>
      <c r="B323" s="6" t="s">
        <v>44</v>
      </c>
      <c r="C323" s="6">
        <v>42</v>
      </c>
    </row>
    <row r="324" spans="1:3" x14ac:dyDescent="0.3">
      <c r="A324" s="4">
        <v>469</v>
      </c>
      <c r="B324" s="6" t="s">
        <v>44</v>
      </c>
      <c r="C324" s="6">
        <v>42</v>
      </c>
    </row>
    <row r="325" spans="1:3" x14ac:dyDescent="0.3">
      <c r="A325" s="4">
        <v>1073</v>
      </c>
      <c r="B325" s="6" t="s">
        <v>44</v>
      </c>
      <c r="C325" s="6">
        <v>42.1</v>
      </c>
    </row>
    <row r="326" spans="1:3" x14ac:dyDescent="0.3">
      <c r="A326" s="4">
        <v>484</v>
      </c>
      <c r="B326" s="6" t="s">
        <v>44</v>
      </c>
      <c r="C326" s="6">
        <v>42.2</v>
      </c>
    </row>
    <row r="327" spans="1:3" x14ac:dyDescent="0.3">
      <c r="A327" s="4">
        <v>624</v>
      </c>
      <c r="B327" s="6" t="s">
        <v>44</v>
      </c>
      <c r="C327" s="6">
        <v>42.3</v>
      </c>
    </row>
    <row r="328" spans="1:3" x14ac:dyDescent="0.3">
      <c r="A328" s="4">
        <v>628</v>
      </c>
      <c r="B328" s="6" t="s">
        <v>44</v>
      </c>
      <c r="C328" s="6">
        <v>42.4</v>
      </c>
    </row>
    <row r="329" spans="1:3" x14ac:dyDescent="0.3">
      <c r="A329" s="4">
        <v>312</v>
      </c>
      <c r="B329" s="6" t="s">
        <v>44</v>
      </c>
      <c r="C329" s="6">
        <v>42.5</v>
      </c>
    </row>
    <row r="330" spans="1:3" x14ac:dyDescent="0.3">
      <c r="A330" s="4">
        <v>340</v>
      </c>
      <c r="B330" s="6" t="s">
        <v>44</v>
      </c>
      <c r="C330" s="6">
        <v>42.5</v>
      </c>
    </row>
    <row r="331" spans="1:3" x14ac:dyDescent="0.3">
      <c r="A331" s="4">
        <v>481</v>
      </c>
      <c r="B331" s="6" t="s">
        <v>44</v>
      </c>
      <c r="C331" s="6">
        <v>42.5</v>
      </c>
    </row>
    <row r="332" spans="1:3" x14ac:dyDescent="0.3">
      <c r="A332" s="4">
        <v>1103</v>
      </c>
      <c r="B332" s="6" t="s">
        <v>44</v>
      </c>
      <c r="C332" s="6">
        <v>42.5</v>
      </c>
    </row>
    <row r="333" spans="1:3" x14ac:dyDescent="0.3">
      <c r="A333" s="4">
        <v>198</v>
      </c>
      <c r="B333" s="6" t="s">
        <v>44</v>
      </c>
      <c r="C333" s="6">
        <v>42.6</v>
      </c>
    </row>
    <row r="334" spans="1:3" x14ac:dyDescent="0.3">
      <c r="A334" s="4">
        <v>311</v>
      </c>
      <c r="B334" s="6" t="s">
        <v>44</v>
      </c>
      <c r="C334" s="6">
        <v>42.6</v>
      </c>
    </row>
    <row r="335" spans="1:3" x14ac:dyDescent="0.3">
      <c r="A335" s="4">
        <v>315</v>
      </c>
      <c r="B335" s="6" t="s">
        <v>44</v>
      </c>
      <c r="C335" s="6">
        <v>42.6</v>
      </c>
    </row>
    <row r="336" spans="1:3" x14ac:dyDescent="0.3">
      <c r="A336" s="4">
        <v>331</v>
      </c>
      <c r="B336" s="6" t="s">
        <v>44</v>
      </c>
      <c r="C336" s="6">
        <v>42.6</v>
      </c>
    </row>
    <row r="337" spans="1:3" x14ac:dyDescent="0.3">
      <c r="A337" s="4">
        <v>365</v>
      </c>
      <c r="B337" s="6" t="s">
        <v>44</v>
      </c>
      <c r="C337" s="6">
        <v>42.6</v>
      </c>
    </row>
    <row r="338" spans="1:3" x14ac:dyDescent="0.3">
      <c r="A338" s="4">
        <v>981</v>
      </c>
      <c r="B338" s="6" t="s">
        <v>44</v>
      </c>
      <c r="C338" s="6">
        <v>42.6</v>
      </c>
    </row>
    <row r="339" spans="1:3" x14ac:dyDescent="0.3">
      <c r="A339" s="4">
        <v>234</v>
      </c>
      <c r="B339" s="6" t="s">
        <v>44</v>
      </c>
      <c r="C339" s="6">
        <v>42.7</v>
      </c>
    </row>
    <row r="340" spans="1:3" x14ac:dyDescent="0.3">
      <c r="A340" s="4">
        <v>260</v>
      </c>
      <c r="B340" s="6" t="s">
        <v>44</v>
      </c>
      <c r="C340" s="6">
        <v>42.7</v>
      </c>
    </row>
    <row r="341" spans="1:3" x14ac:dyDescent="0.3">
      <c r="A341" s="4">
        <v>264</v>
      </c>
      <c r="B341" s="6" t="s">
        <v>44</v>
      </c>
      <c r="C341" s="6">
        <v>42.7</v>
      </c>
    </row>
    <row r="342" spans="1:3" x14ac:dyDescent="0.3">
      <c r="A342" s="4">
        <v>845</v>
      </c>
      <c r="B342" s="6" t="s">
        <v>44</v>
      </c>
      <c r="C342" s="6">
        <v>42.7</v>
      </c>
    </row>
    <row r="343" spans="1:3" x14ac:dyDescent="0.3">
      <c r="A343" s="4">
        <v>1101</v>
      </c>
      <c r="B343" s="6" t="s">
        <v>44</v>
      </c>
      <c r="C343" s="6">
        <v>42.7</v>
      </c>
    </row>
    <row r="344" spans="1:3" x14ac:dyDescent="0.3">
      <c r="A344" s="4">
        <v>584</v>
      </c>
      <c r="B344" s="6" t="s">
        <v>44</v>
      </c>
      <c r="C344" s="6">
        <v>42.8</v>
      </c>
    </row>
    <row r="345" spans="1:3" x14ac:dyDescent="0.3">
      <c r="A345" s="4">
        <v>993</v>
      </c>
      <c r="B345" s="6" t="s">
        <v>44</v>
      </c>
      <c r="C345" s="6">
        <v>42.9</v>
      </c>
    </row>
    <row r="346" spans="1:3" x14ac:dyDescent="0.3">
      <c r="A346" s="4">
        <v>1071</v>
      </c>
      <c r="B346" s="6" t="s">
        <v>44</v>
      </c>
      <c r="C346" s="6">
        <v>42.9</v>
      </c>
    </row>
    <row r="347" spans="1:3" x14ac:dyDescent="0.3">
      <c r="A347" s="4">
        <v>323</v>
      </c>
      <c r="B347" s="6" t="s">
        <v>44</v>
      </c>
      <c r="C347" s="6">
        <v>43</v>
      </c>
    </row>
    <row r="348" spans="1:3" x14ac:dyDescent="0.3">
      <c r="A348" s="4">
        <v>335</v>
      </c>
      <c r="B348" s="6" t="s">
        <v>44</v>
      </c>
      <c r="C348" s="6">
        <v>43.2</v>
      </c>
    </row>
    <row r="349" spans="1:3" x14ac:dyDescent="0.3">
      <c r="A349" s="4">
        <v>667</v>
      </c>
      <c r="B349" s="6" t="s">
        <v>44</v>
      </c>
      <c r="C349" s="6">
        <v>43.2</v>
      </c>
    </row>
    <row r="350" spans="1:3" x14ac:dyDescent="0.3">
      <c r="A350" s="4">
        <v>1067</v>
      </c>
      <c r="B350" s="6" t="s">
        <v>44</v>
      </c>
      <c r="C350" s="6">
        <v>43.2</v>
      </c>
    </row>
    <row r="351" spans="1:3" x14ac:dyDescent="0.3">
      <c r="A351" s="4">
        <v>268</v>
      </c>
      <c r="B351" s="6" t="s">
        <v>44</v>
      </c>
      <c r="C351" s="6">
        <v>43.3</v>
      </c>
    </row>
    <row r="352" spans="1:3" x14ac:dyDescent="0.3">
      <c r="A352" s="4">
        <v>856</v>
      </c>
      <c r="B352" s="6" t="s">
        <v>44</v>
      </c>
      <c r="C352" s="6">
        <v>43.3</v>
      </c>
    </row>
    <row r="353" spans="1:3" x14ac:dyDescent="0.3">
      <c r="A353" s="4">
        <v>220</v>
      </c>
      <c r="B353" s="6" t="s">
        <v>44</v>
      </c>
      <c r="C353" s="6">
        <v>43.4</v>
      </c>
    </row>
    <row r="354" spans="1:3" x14ac:dyDescent="0.3">
      <c r="A354" s="4">
        <v>363</v>
      </c>
      <c r="B354" s="6" t="s">
        <v>44</v>
      </c>
      <c r="C354" s="6">
        <v>43.4</v>
      </c>
    </row>
    <row r="355" spans="1:3" x14ac:dyDescent="0.3">
      <c r="A355" s="4">
        <v>625</v>
      </c>
      <c r="B355" s="6" t="s">
        <v>44</v>
      </c>
      <c r="C355" s="6">
        <v>43.4</v>
      </c>
    </row>
    <row r="356" spans="1:3" x14ac:dyDescent="0.3">
      <c r="A356" s="4">
        <v>1040</v>
      </c>
      <c r="B356" s="6" t="s">
        <v>44</v>
      </c>
      <c r="C356" s="6">
        <v>43.4</v>
      </c>
    </row>
    <row r="357" spans="1:3" x14ac:dyDescent="0.3">
      <c r="A357" s="4">
        <v>209</v>
      </c>
      <c r="B357" s="6" t="s">
        <v>44</v>
      </c>
      <c r="C357" s="6">
        <v>43.5</v>
      </c>
    </row>
    <row r="358" spans="1:3" x14ac:dyDescent="0.3">
      <c r="A358" s="4">
        <v>212</v>
      </c>
      <c r="B358" s="6" t="s">
        <v>44</v>
      </c>
      <c r="C358" s="6">
        <v>43.5</v>
      </c>
    </row>
    <row r="359" spans="1:3" x14ac:dyDescent="0.3">
      <c r="A359" s="4">
        <v>237</v>
      </c>
      <c r="B359" s="6" t="s">
        <v>44</v>
      </c>
      <c r="C359" s="6">
        <v>43.5</v>
      </c>
    </row>
    <row r="360" spans="1:3" x14ac:dyDescent="0.3">
      <c r="A360" s="4">
        <v>297</v>
      </c>
      <c r="B360" s="6" t="s">
        <v>44</v>
      </c>
      <c r="C360" s="6">
        <v>43.5</v>
      </c>
    </row>
    <row r="361" spans="1:3" x14ac:dyDescent="0.3">
      <c r="A361" s="4">
        <v>305</v>
      </c>
      <c r="B361" s="6" t="s">
        <v>44</v>
      </c>
      <c r="C361" s="6">
        <v>43.5</v>
      </c>
    </row>
    <row r="362" spans="1:3" x14ac:dyDescent="0.3">
      <c r="A362" s="4">
        <v>334</v>
      </c>
      <c r="B362" s="6" t="s">
        <v>44</v>
      </c>
      <c r="C362" s="6">
        <v>43.5</v>
      </c>
    </row>
    <row r="363" spans="1:3" x14ac:dyDescent="0.3">
      <c r="A363" s="4">
        <v>374</v>
      </c>
      <c r="B363" s="6" t="s">
        <v>44</v>
      </c>
      <c r="C363" s="6">
        <v>43.5</v>
      </c>
    </row>
    <row r="364" spans="1:3" x14ac:dyDescent="0.3">
      <c r="A364" s="4">
        <v>687</v>
      </c>
      <c r="B364" s="6" t="s">
        <v>44</v>
      </c>
      <c r="C364" s="6">
        <v>43.5</v>
      </c>
    </row>
    <row r="365" spans="1:3" x14ac:dyDescent="0.3">
      <c r="A365" s="4">
        <v>1016</v>
      </c>
      <c r="B365" s="6" t="s">
        <v>44</v>
      </c>
      <c r="C365" s="6">
        <v>43.5</v>
      </c>
    </row>
    <row r="366" spans="1:3" x14ac:dyDescent="0.3">
      <c r="A366" s="4">
        <v>528</v>
      </c>
      <c r="B366" s="6" t="s">
        <v>44</v>
      </c>
      <c r="C366" s="6">
        <v>43.6</v>
      </c>
    </row>
    <row r="367" spans="1:3" x14ac:dyDescent="0.3">
      <c r="A367" s="4">
        <v>399</v>
      </c>
      <c r="B367" s="6" t="s">
        <v>44</v>
      </c>
      <c r="C367" s="6">
        <v>43.7</v>
      </c>
    </row>
    <row r="368" spans="1:3" x14ac:dyDescent="0.3">
      <c r="A368" s="4">
        <v>661</v>
      </c>
      <c r="B368" s="6" t="s">
        <v>44</v>
      </c>
      <c r="C368" s="6">
        <v>43.7</v>
      </c>
    </row>
    <row r="369" spans="1:3" x14ac:dyDescent="0.3">
      <c r="A369" s="4">
        <v>962</v>
      </c>
      <c r="B369" s="6" t="s">
        <v>44</v>
      </c>
      <c r="C369" s="6">
        <v>43.7</v>
      </c>
    </row>
    <row r="370" spans="1:3" x14ac:dyDescent="0.3">
      <c r="A370" s="4">
        <v>300</v>
      </c>
      <c r="B370" s="6" t="s">
        <v>44</v>
      </c>
      <c r="C370" s="6">
        <v>43.8</v>
      </c>
    </row>
    <row r="371" spans="1:3" x14ac:dyDescent="0.3">
      <c r="A371" s="4">
        <v>472</v>
      </c>
      <c r="B371" s="6" t="s">
        <v>44</v>
      </c>
      <c r="C371" s="6">
        <v>43.8</v>
      </c>
    </row>
    <row r="372" spans="1:3" x14ac:dyDescent="0.3">
      <c r="A372" s="4">
        <v>679</v>
      </c>
      <c r="B372" s="6" t="s">
        <v>44</v>
      </c>
      <c r="C372" s="6">
        <v>43.8</v>
      </c>
    </row>
    <row r="373" spans="1:3" x14ac:dyDescent="0.3">
      <c r="A373" s="4">
        <v>855</v>
      </c>
      <c r="B373" s="6" t="s">
        <v>44</v>
      </c>
      <c r="C373" s="6">
        <v>43.8</v>
      </c>
    </row>
    <row r="374" spans="1:3" x14ac:dyDescent="0.3">
      <c r="A374" s="4">
        <v>189</v>
      </c>
      <c r="B374" s="6" t="s">
        <v>44</v>
      </c>
      <c r="C374" s="6">
        <v>44</v>
      </c>
    </row>
    <row r="375" spans="1:3" x14ac:dyDescent="0.3">
      <c r="A375" s="4">
        <v>307</v>
      </c>
      <c r="B375" s="6" t="s">
        <v>44</v>
      </c>
      <c r="C375" s="6">
        <v>44</v>
      </c>
    </row>
    <row r="376" spans="1:3" x14ac:dyDescent="0.3">
      <c r="A376" s="4">
        <v>341</v>
      </c>
      <c r="B376" s="6" t="s">
        <v>44</v>
      </c>
      <c r="C376" s="6">
        <v>44</v>
      </c>
    </row>
    <row r="377" spans="1:3" x14ac:dyDescent="0.3">
      <c r="A377" s="4">
        <v>342</v>
      </c>
      <c r="B377" s="6" t="s">
        <v>44</v>
      </c>
      <c r="C377" s="6">
        <v>44</v>
      </c>
    </row>
    <row r="378" spans="1:3" x14ac:dyDescent="0.3">
      <c r="A378" s="4">
        <v>655</v>
      </c>
      <c r="B378" s="6" t="s">
        <v>44</v>
      </c>
      <c r="C378" s="6">
        <v>44</v>
      </c>
    </row>
    <row r="379" spans="1:3" x14ac:dyDescent="0.3">
      <c r="A379" s="4">
        <v>681</v>
      </c>
      <c r="B379" s="6" t="s">
        <v>44</v>
      </c>
      <c r="C379" s="6">
        <v>44</v>
      </c>
    </row>
    <row r="380" spans="1:3" x14ac:dyDescent="0.3">
      <c r="A380" s="4">
        <v>1033</v>
      </c>
      <c r="B380" s="6" t="s">
        <v>44</v>
      </c>
      <c r="C380" s="6">
        <v>44</v>
      </c>
    </row>
    <row r="381" spans="1:3" x14ac:dyDescent="0.3">
      <c r="A381" s="4">
        <v>627</v>
      </c>
      <c r="B381" s="6" t="s">
        <v>44</v>
      </c>
      <c r="C381" s="6">
        <v>44.1</v>
      </c>
    </row>
    <row r="382" spans="1:3" x14ac:dyDescent="0.3">
      <c r="A382" s="4">
        <v>299</v>
      </c>
      <c r="B382" s="6" t="s">
        <v>44</v>
      </c>
      <c r="C382" s="6">
        <v>44.2</v>
      </c>
    </row>
    <row r="383" spans="1:3" x14ac:dyDescent="0.3">
      <c r="A383" s="4">
        <v>367</v>
      </c>
      <c r="B383" s="6" t="s">
        <v>44</v>
      </c>
      <c r="C383" s="6">
        <v>44.2</v>
      </c>
    </row>
    <row r="384" spans="1:3" x14ac:dyDescent="0.3">
      <c r="A384" s="4">
        <v>510</v>
      </c>
      <c r="B384" s="6" t="s">
        <v>44</v>
      </c>
      <c r="C384" s="6">
        <v>44.2</v>
      </c>
    </row>
    <row r="385" spans="1:3" x14ac:dyDescent="0.3">
      <c r="A385" s="4">
        <v>321</v>
      </c>
      <c r="B385" s="6" t="s">
        <v>44</v>
      </c>
      <c r="C385" s="6">
        <v>44.3</v>
      </c>
    </row>
    <row r="386" spans="1:3" x14ac:dyDescent="0.3">
      <c r="A386" s="4">
        <v>397</v>
      </c>
      <c r="B386" s="6" t="s">
        <v>44</v>
      </c>
      <c r="C386" s="6">
        <v>44.4</v>
      </c>
    </row>
    <row r="387" spans="1:3" x14ac:dyDescent="0.3">
      <c r="A387" s="4">
        <v>626</v>
      </c>
      <c r="B387" s="6" t="s">
        <v>44</v>
      </c>
      <c r="C387" s="6">
        <v>44.4</v>
      </c>
    </row>
    <row r="388" spans="1:3" x14ac:dyDescent="0.3">
      <c r="A388" s="4">
        <v>647</v>
      </c>
      <c r="B388" s="6" t="s">
        <v>44</v>
      </c>
      <c r="C388" s="6">
        <v>44.4</v>
      </c>
    </row>
    <row r="389" spans="1:3" x14ac:dyDescent="0.3">
      <c r="A389" s="4">
        <v>160</v>
      </c>
      <c r="B389" s="6" t="s">
        <v>44</v>
      </c>
      <c r="C389" s="6">
        <v>44.5</v>
      </c>
    </row>
    <row r="390" spans="1:3" x14ac:dyDescent="0.3">
      <c r="A390" s="4">
        <v>170</v>
      </c>
      <c r="B390" s="6" t="s">
        <v>44</v>
      </c>
      <c r="C390" s="6">
        <v>44.5</v>
      </c>
    </row>
    <row r="391" spans="1:3" x14ac:dyDescent="0.3">
      <c r="A391" s="4">
        <v>324</v>
      </c>
      <c r="B391" s="6" t="s">
        <v>44</v>
      </c>
      <c r="C391" s="6">
        <v>44.5</v>
      </c>
    </row>
    <row r="392" spans="1:3" x14ac:dyDescent="0.3">
      <c r="A392" s="4">
        <v>330</v>
      </c>
      <c r="B392" s="6" t="s">
        <v>44</v>
      </c>
      <c r="C392" s="6">
        <v>44.5</v>
      </c>
    </row>
    <row r="393" spans="1:3" x14ac:dyDescent="0.3">
      <c r="A393" s="4">
        <v>336</v>
      </c>
      <c r="B393" s="6" t="s">
        <v>44</v>
      </c>
      <c r="C393" s="6">
        <v>44.5</v>
      </c>
    </row>
    <row r="394" spans="1:3" x14ac:dyDescent="0.3">
      <c r="A394" s="4">
        <v>587</v>
      </c>
      <c r="B394" s="6" t="s">
        <v>44</v>
      </c>
      <c r="C394" s="6">
        <v>44.5</v>
      </c>
    </row>
    <row r="395" spans="1:3" x14ac:dyDescent="0.3">
      <c r="A395" s="4">
        <v>648</v>
      </c>
      <c r="B395" s="6" t="s">
        <v>44</v>
      </c>
      <c r="C395" s="6">
        <v>44.5</v>
      </c>
    </row>
    <row r="396" spans="1:3" x14ac:dyDescent="0.3">
      <c r="A396" s="4">
        <v>684</v>
      </c>
      <c r="B396" s="6" t="s">
        <v>44</v>
      </c>
      <c r="C396" s="6">
        <v>44.5</v>
      </c>
    </row>
    <row r="397" spans="1:3" x14ac:dyDescent="0.3">
      <c r="A397" s="4">
        <v>1022</v>
      </c>
      <c r="B397" s="6" t="s">
        <v>44</v>
      </c>
      <c r="C397" s="6">
        <v>44.5</v>
      </c>
    </row>
    <row r="398" spans="1:3" x14ac:dyDescent="0.3">
      <c r="A398" s="4">
        <v>1036</v>
      </c>
      <c r="B398" s="6" t="s">
        <v>44</v>
      </c>
      <c r="C398" s="6">
        <v>44.5</v>
      </c>
    </row>
    <row r="399" spans="1:3" x14ac:dyDescent="0.3">
      <c r="A399" s="4">
        <v>267</v>
      </c>
      <c r="B399" s="6" t="s">
        <v>44</v>
      </c>
      <c r="C399" s="6">
        <v>44.6</v>
      </c>
    </row>
    <row r="400" spans="1:3" x14ac:dyDescent="0.3">
      <c r="A400" s="4">
        <v>219</v>
      </c>
      <c r="B400" s="6" t="s">
        <v>44</v>
      </c>
      <c r="C400" s="6">
        <v>44.7</v>
      </c>
    </row>
    <row r="401" spans="1:3" x14ac:dyDescent="0.3">
      <c r="A401" s="4">
        <v>600</v>
      </c>
      <c r="B401" s="6" t="s">
        <v>44</v>
      </c>
      <c r="C401" s="6">
        <v>44.7</v>
      </c>
    </row>
    <row r="402" spans="1:3" x14ac:dyDescent="0.3">
      <c r="A402" s="4">
        <v>172</v>
      </c>
      <c r="B402" s="6" t="s">
        <v>44</v>
      </c>
      <c r="C402" s="6">
        <v>44.8</v>
      </c>
    </row>
    <row r="403" spans="1:3" x14ac:dyDescent="0.3">
      <c r="A403" s="4">
        <v>269</v>
      </c>
      <c r="B403" s="6" t="s">
        <v>44</v>
      </c>
      <c r="C403" s="6">
        <v>44.8</v>
      </c>
    </row>
    <row r="404" spans="1:3" x14ac:dyDescent="0.3">
      <c r="A404" s="4">
        <v>412</v>
      </c>
      <c r="B404" s="6" t="s">
        <v>44</v>
      </c>
      <c r="C404" s="6">
        <v>44.8</v>
      </c>
    </row>
    <row r="405" spans="1:3" x14ac:dyDescent="0.3">
      <c r="A405" s="4">
        <v>194</v>
      </c>
      <c r="B405" s="6" t="s">
        <v>44</v>
      </c>
      <c r="C405" s="6">
        <v>44.9</v>
      </c>
    </row>
    <row r="406" spans="1:3" x14ac:dyDescent="0.3">
      <c r="A406" s="4">
        <v>591</v>
      </c>
      <c r="B406" s="6" t="s">
        <v>44</v>
      </c>
      <c r="C406" s="6">
        <v>44.9</v>
      </c>
    </row>
    <row r="407" spans="1:3" x14ac:dyDescent="0.3">
      <c r="A407" s="4">
        <v>173</v>
      </c>
      <c r="B407" s="6" t="s">
        <v>44</v>
      </c>
      <c r="C407" s="6">
        <v>45</v>
      </c>
    </row>
    <row r="408" spans="1:3" x14ac:dyDescent="0.3">
      <c r="A408" s="4">
        <v>183</v>
      </c>
      <c r="B408" s="6" t="s">
        <v>44</v>
      </c>
      <c r="C408" s="6">
        <v>45</v>
      </c>
    </row>
    <row r="409" spans="1:3" x14ac:dyDescent="0.3">
      <c r="A409" s="4">
        <v>325</v>
      </c>
      <c r="B409" s="6" t="s">
        <v>44</v>
      </c>
      <c r="C409" s="6">
        <v>45</v>
      </c>
    </row>
    <row r="410" spans="1:3" x14ac:dyDescent="0.3">
      <c r="A410" s="4">
        <v>353</v>
      </c>
      <c r="B410" s="6" t="s">
        <v>44</v>
      </c>
      <c r="C410" s="6">
        <v>45</v>
      </c>
    </row>
    <row r="411" spans="1:3" x14ac:dyDescent="0.3">
      <c r="A411" s="4">
        <v>355</v>
      </c>
      <c r="B411" s="6" t="s">
        <v>44</v>
      </c>
      <c r="C411" s="6">
        <v>45.1</v>
      </c>
    </row>
    <row r="412" spans="1:3" x14ac:dyDescent="0.3">
      <c r="A412" s="4">
        <v>377</v>
      </c>
      <c r="B412" s="6" t="s">
        <v>44</v>
      </c>
      <c r="C412" s="6">
        <v>45.1</v>
      </c>
    </row>
    <row r="413" spans="1:3" x14ac:dyDescent="0.3">
      <c r="A413" s="4">
        <v>537</v>
      </c>
      <c r="B413" s="6" t="s">
        <v>44</v>
      </c>
      <c r="C413" s="6">
        <v>45.1</v>
      </c>
    </row>
    <row r="414" spans="1:3" x14ac:dyDescent="0.3">
      <c r="A414" s="4">
        <v>986</v>
      </c>
      <c r="B414" s="6" t="s">
        <v>44</v>
      </c>
      <c r="C414" s="6">
        <v>45.1</v>
      </c>
    </row>
    <row r="415" spans="1:3" x14ac:dyDescent="0.3">
      <c r="A415" s="4">
        <v>991</v>
      </c>
      <c r="B415" s="6" t="s">
        <v>44</v>
      </c>
      <c r="C415" s="6">
        <v>45.1</v>
      </c>
    </row>
    <row r="416" spans="1:3" x14ac:dyDescent="0.3">
      <c r="A416" s="4">
        <v>1049</v>
      </c>
      <c r="B416" s="6" t="s">
        <v>44</v>
      </c>
      <c r="C416" s="6">
        <v>45.1</v>
      </c>
    </row>
    <row r="417" spans="1:3" x14ac:dyDescent="0.3">
      <c r="A417" s="4">
        <v>338</v>
      </c>
      <c r="B417" s="6" t="s">
        <v>44</v>
      </c>
      <c r="C417" s="6">
        <v>45.2</v>
      </c>
    </row>
    <row r="418" spans="1:3" x14ac:dyDescent="0.3">
      <c r="A418" s="4">
        <v>593</v>
      </c>
      <c r="B418" s="6" t="s">
        <v>44</v>
      </c>
      <c r="C418" s="6">
        <v>45.2</v>
      </c>
    </row>
    <row r="419" spans="1:3" x14ac:dyDescent="0.3">
      <c r="A419" s="4">
        <v>672</v>
      </c>
      <c r="B419" s="6" t="s">
        <v>44</v>
      </c>
      <c r="C419" s="6">
        <v>45.3</v>
      </c>
    </row>
    <row r="420" spans="1:3" x14ac:dyDescent="0.3">
      <c r="A420" s="4">
        <v>683</v>
      </c>
      <c r="B420" s="6" t="s">
        <v>44</v>
      </c>
      <c r="C420" s="6">
        <v>45.3</v>
      </c>
    </row>
    <row r="421" spans="1:3" x14ac:dyDescent="0.3">
      <c r="A421" s="4">
        <v>1030</v>
      </c>
      <c r="B421" s="6" t="s">
        <v>44</v>
      </c>
      <c r="C421" s="6">
        <v>45.3</v>
      </c>
    </row>
    <row r="422" spans="1:3" x14ac:dyDescent="0.3">
      <c r="A422" s="4">
        <v>167</v>
      </c>
      <c r="B422" s="6" t="s">
        <v>44</v>
      </c>
      <c r="C422" s="6">
        <v>45.5</v>
      </c>
    </row>
    <row r="423" spans="1:3" x14ac:dyDescent="0.3">
      <c r="A423" s="4">
        <v>176</v>
      </c>
      <c r="B423" s="6" t="s">
        <v>44</v>
      </c>
      <c r="C423" s="6">
        <v>45.5</v>
      </c>
    </row>
    <row r="424" spans="1:3" x14ac:dyDescent="0.3">
      <c r="A424" s="4">
        <v>204</v>
      </c>
      <c r="B424" s="6" t="s">
        <v>44</v>
      </c>
      <c r="C424" s="6">
        <v>45.5</v>
      </c>
    </row>
    <row r="425" spans="1:3" x14ac:dyDescent="0.3">
      <c r="A425" s="4">
        <v>339</v>
      </c>
      <c r="B425" s="6" t="s">
        <v>44</v>
      </c>
      <c r="C425" s="6">
        <v>45.5</v>
      </c>
    </row>
    <row r="426" spans="1:3" x14ac:dyDescent="0.3">
      <c r="A426" s="4">
        <v>462</v>
      </c>
      <c r="B426" s="6" t="s">
        <v>44</v>
      </c>
      <c r="C426" s="6">
        <v>45.5</v>
      </c>
    </row>
    <row r="427" spans="1:3" x14ac:dyDescent="0.3">
      <c r="A427" s="4">
        <v>964</v>
      </c>
      <c r="B427" s="6" t="s">
        <v>44</v>
      </c>
      <c r="C427" s="6">
        <v>45.5</v>
      </c>
    </row>
    <row r="428" spans="1:3" x14ac:dyDescent="0.3">
      <c r="A428" s="4">
        <v>987</v>
      </c>
      <c r="B428" s="6" t="s">
        <v>44</v>
      </c>
      <c r="C428" s="6">
        <v>45.5</v>
      </c>
    </row>
    <row r="429" spans="1:3" x14ac:dyDescent="0.3">
      <c r="A429" s="4">
        <v>1034</v>
      </c>
      <c r="B429" s="6" t="s">
        <v>44</v>
      </c>
      <c r="C429" s="6">
        <v>45.5</v>
      </c>
    </row>
    <row r="430" spans="1:3" x14ac:dyDescent="0.3">
      <c r="A430" s="4">
        <v>1035</v>
      </c>
      <c r="B430" s="6" t="s">
        <v>44</v>
      </c>
      <c r="C430" s="6">
        <v>45.5</v>
      </c>
    </row>
    <row r="431" spans="1:3" x14ac:dyDescent="0.3">
      <c r="A431" s="4">
        <v>413</v>
      </c>
      <c r="B431" s="6" t="s">
        <v>44</v>
      </c>
      <c r="C431" s="6">
        <v>45.6</v>
      </c>
    </row>
    <row r="432" spans="1:3" x14ac:dyDescent="0.3">
      <c r="A432" s="4">
        <v>496</v>
      </c>
      <c r="B432" s="6" t="s">
        <v>44</v>
      </c>
      <c r="C432" s="6">
        <v>45.6</v>
      </c>
    </row>
    <row r="433" spans="1:3" x14ac:dyDescent="0.3">
      <c r="A433" s="4">
        <v>694</v>
      </c>
      <c r="B433" s="6" t="s">
        <v>44</v>
      </c>
      <c r="C433" s="6">
        <v>45.6</v>
      </c>
    </row>
    <row r="434" spans="1:3" x14ac:dyDescent="0.3">
      <c r="A434" s="4">
        <v>697</v>
      </c>
      <c r="B434" s="6" t="s">
        <v>44</v>
      </c>
      <c r="C434" s="6">
        <v>45.6</v>
      </c>
    </row>
    <row r="435" spans="1:3" x14ac:dyDescent="0.3">
      <c r="A435" s="4">
        <v>990</v>
      </c>
      <c r="B435" s="6" t="s">
        <v>44</v>
      </c>
      <c r="C435" s="6">
        <v>45.6</v>
      </c>
    </row>
    <row r="436" spans="1:3" x14ac:dyDescent="0.3">
      <c r="A436" s="4">
        <v>992</v>
      </c>
      <c r="B436" s="6" t="s">
        <v>44</v>
      </c>
      <c r="C436" s="6">
        <v>45.6</v>
      </c>
    </row>
    <row r="437" spans="1:3" x14ac:dyDescent="0.3">
      <c r="A437" s="4">
        <v>1065</v>
      </c>
      <c r="B437" s="6" t="s">
        <v>44</v>
      </c>
      <c r="C437" s="6">
        <v>45.6</v>
      </c>
    </row>
    <row r="438" spans="1:3" x14ac:dyDescent="0.3">
      <c r="A438" s="4">
        <v>1069</v>
      </c>
      <c r="B438" s="6" t="s">
        <v>44</v>
      </c>
      <c r="C438" s="6">
        <v>45.6</v>
      </c>
    </row>
    <row r="439" spans="1:3" x14ac:dyDescent="0.3">
      <c r="A439" s="4">
        <v>1074</v>
      </c>
      <c r="B439" s="6" t="s">
        <v>44</v>
      </c>
      <c r="C439" s="6">
        <v>45.6</v>
      </c>
    </row>
    <row r="440" spans="1:3" x14ac:dyDescent="0.3">
      <c r="A440" s="4">
        <v>1118</v>
      </c>
      <c r="B440" s="6" t="s">
        <v>44</v>
      </c>
      <c r="C440" s="6">
        <v>45.6</v>
      </c>
    </row>
    <row r="441" spans="1:3" x14ac:dyDescent="0.3">
      <c r="A441" s="4">
        <v>224</v>
      </c>
      <c r="B441" s="6" t="s">
        <v>44</v>
      </c>
      <c r="C441" s="6">
        <v>45.7</v>
      </c>
    </row>
    <row r="442" spans="1:3" x14ac:dyDescent="0.3">
      <c r="A442" s="4">
        <v>848</v>
      </c>
      <c r="B442" s="6" t="s">
        <v>44</v>
      </c>
      <c r="C442" s="6">
        <v>45.7</v>
      </c>
    </row>
    <row r="443" spans="1:3" x14ac:dyDescent="0.3">
      <c r="A443" s="4">
        <v>983</v>
      </c>
      <c r="B443" s="6" t="s">
        <v>44</v>
      </c>
      <c r="C443" s="6">
        <v>45.7</v>
      </c>
    </row>
    <row r="444" spans="1:3" x14ac:dyDescent="0.3">
      <c r="A444" s="4">
        <v>988</v>
      </c>
      <c r="B444" s="6" t="s">
        <v>44</v>
      </c>
      <c r="C444" s="6">
        <v>45.7</v>
      </c>
    </row>
    <row r="445" spans="1:3" x14ac:dyDescent="0.3">
      <c r="A445" s="4">
        <v>1072</v>
      </c>
      <c r="B445" s="6" t="s">
        <v>44</v>
      </c>
      <c r="C445" s="6">
        <v>45.7</v>
      </c>
    </row>
    <row r="446" spans="1:3" x14ac:dyDescent="0.3">
      <c r="A446" s="4">
        <v>585</v>
      </c>
      <c r="B446" s="6" t="s">
        <v>44</v>
      </c>
      <c r="C446" s="6">
        <v>45.8</v>
      </c>
    </row>
    <row r="447" spans="1:3" x14ac:dyDescent="0.3">
      <c r="A447" s="4">
        <v>1116</v>
      </c>
      <c r="B447" s="6" t="s">
        <v>44</v>
      </c>
      <c r="C447" s="6">
        <v>45.8</v>
      </c>
    </row>
    <row r="448" spans="1:3" x14ac:dyDescent="0.3">
      <c r="A448" s="4">
        <v>191</v>
      </c>
      <c r="B448" s="6" t="s">
        <v>44</v>
      </c>
      <c r="C448" s="6">
        <v>46</v>
      </c>
    </row>
    <row r="449" spans="1:3" x14ac:dyDescent="0.3">
      <c r="A449" s="4">
        <v>310</v>
      </c>
      <c r="B449" s="6" t="s">
        <v>44</v>
      </c>
      <c r="C449" s="6">
        <v>46</v>
      </c>
    </row>
    <row r="450" spans="1:3" x14ac:dyDescent="0.3">
      <c r="A450" s="4">
        <v>361</v>
      </c>
      <c r="B450" s="6" t="s">
        <v>44</v>
      </c>
      <c r="C450" s="6">
        <v>46</v>
      </c>
    </row>
    <row r="451" spans="1:3" x14ac:dyDescent="0.3">
      <c r="A451" s="4">
        <v>379</v>
      </c>
      <c r="B451" s="6" t="s">
        <v>44</v>
      </c>
      <c r="C451" s="6">
        <v>46</v>
      </c>
    </row>
    <row r="452" spans="1:3" x14ac:dyDescent="0.3">
      <c r="A452" s="4">
        <v>380</v>
      </c>
      <c r="B452" s="6" t="s">
        <v>44</v>
      </c>
      <c r="C452" s="6">
        <v>46</v>
      </c>
    </row>
    <row r="453" spans="1:3" x14ac:dyDescent="0.3">
      <c r="A453" s="4">
        <v>1077</v>
      </c>
      <c r="B453" s="6" t="s">
        <v>44</v>
      </c>
      <c r="C453" s="6">
        <v>46</v>
      </c>
    </row>
    <row r="454" spans="1:3" x14ac:dyDescent="0.3">
      <c r="A454" s="4">
        <v>1096</v>
      </c>
      <c r="B454" s="6" t="s">
        <v>44</v>
      </c>
      <c r="C454" s="6">
        <v>46</v>
      </c>
    </row>
    <row r="455" spans="1:3" x14ac:dyDescent="0.3">
      <c r="A455" s="4">
        <v>1097</v>
      </c>
      <c r="B455" s="6" t="s">
        <v>44</v>
      </c>
      <c r="C455" s="6">
        <v>46</v>
      </c>
    </row>
    <row r="456" spans="1:3" x14ac:dyDescent="0.3">
      <c r="A456" s="4">
        <v>1236</v>
      </c>
      <c r="B456" s="6" t="s">
        <v>44</v>
      </c>
      <c r="C456" s="6">
        <v>46</v>
      </c>
    </row>
    <row r="457" spans="1:3" x14ac:dyDescent="0.3">
      <c r="A457" s="4">
        <v>364</v>
      </c>
      <c r="B457" s="6" t="s">
        <v>44</v>
      </c>
      <c r="C457" s="6">
        <v>46.1</v>
      </c>
    </row>
    <row r="458" spans="1:3" x14ac:dyDescent="0.3">
      <c r="A458" s="4">
        <v>646</v>
      </c>
      <c r="B458" s="6" t="s">
        <v>44</v>
      </c>
      <c r="C458" s="6">
        <v>46.1</v>
      </c>
    </row>
    <row r="459" spans="1:3" x14ac:dyDescent="0.3">
      <c r="A459" s="4">
        <v>989</v>
      </c>
      <c r="B459" s="6" t="s">
        <v>44</v>
      </c>
      <c r="C459" s="6">
        <v>46.1</v>
      </c>
    </row>
    <row r="460" spans="1:3" x14ac:dyDescent="0.3">
      <c r="A460" s="4">
        <v>1086</v>
      </c>
      <c r="B460" s="6" t="s">
        <v>44</v>
      </c>
      <c r="C460" s="6">
        <v>46.1</v>
      </c>
    </row>
    <row r="461" spans="1:3" x14ac:dyDescent="0.3">
      <c r="A461" s="4">
        <v>466</v>
      </c>
      <c r="B461" s="6" t="s">
        <v>44</v>
      </c>
      <c r="C461" s="6">
        <v>46.2</v>
      </c>
    </row>
    <row r="462" spans="1:3" x14ac:dyDescent="0.3">
      <c r="A462" s="4">
        <v>633</v>
      </c>
      <c r="B462" s="6" t="s">
        <v>44</v>
      </c>
      <c r="C462" s="6">
        <v>46.3</v>
      </c>
    </row>
    <row r="463" spans="1:3" x14ac:dyDescent="0.3">
      <c r="A463" s="4">
        <v>670</v>
      </c>
      <c r="B463" s="6" t="s">
        <v>44</v>
      </c>
      <c r="C463" s="6">
        <v>46.3</v>
      </c>
    </row>
    <row r="464" spans="1:3" x14ac:dyDescent="0.3">
      <c r="A464" s="4">
        <v>985</v>
      </c>
      <c r="B464" s="6" t="s">
        <v>44</v>
      </c>
      <c r="C464" s="6">
        <v>46.3</v>
      </c>
    </row>
    <row r="465" spans="1:3" x14ac:dyDescent="0.3">
      <c r="A465" s="4">
        <v>352</v>
      </c>
      <c r="B465" s="6" t="s">
        <v>44</v>
      </c>
      <c r="C465" s="6">
        <v>46.4</v>
      </c>
    </row>
    <row r="466" spans="1:3" x14ac:dyDescent="0.3">
      <c r="A466" s="4">
        <v>673</v>
      </c>
      <c r="B466" s="6" t="s">
        <v>44</v>
      </c>
      <c r="C466" s="6">
        <v>46.4</v>
      </c>
    </row>
    <row r="467" spans="1:3" x14ac:dyDescent="0.3">
      <c r="A467" s="4">
        <v>1041</v>
      </c>
      <c r="B467" s="6" t="s">
        <v>44</v>
      </c>
      <c r="C467" s="6">
        <v>46.4</v>
      </c>
    </row>
    <row r="468" spans="1:3" x14ac:dyDescent="0.3">
      <c r="A468" s="4">
        <v>1059</v>
      </c>
      <c r="B468" s="6" t="s">
        <v>44</v>
      </c>
      <c r="C468" s="6">
        <v>46.4</v>
      </c>
    </row>
    <row r="469" spans="1:3" x14ac:dyDescent="0.3">
      <c r="A469" s="4">
        <v>480</v>
      </c>
      <c r="B469" s="6" t="s">
        <v>44</v>
      </c>
      <c r="C469" s="6">
        <v>46.5</v>
      </c>
    </row>
    <row r="470" spans="1:3" x14ac:dyDescent="0.3">
      <c r="A470" s="4">
        <v>622</v>
      </c>
      <c r="B470" s="6" t="s">
        <v>44</v>
      </c>
      <c r="C470" s="6">
        <v>46.5</v>
      </c>
    </row>
    <row r="471" spans="1:3" x14ac:dyDescent="0.3">
      <c r="A471" s="4">
        <v>636</v>
      </c>
      <c r="B471" s="6" t="s">
        <v>44</v>
      </c>
      <c r="C471" s="6">
        <v>46.5</v>
      </c>
    </row>
    <row r="472" spans="1:3" x14ac:dyDescent="0.3">
      <c r="A472" s="4">
        <v>669</v>
      </c>
      <c r="B472" s="6" t="s">
        <v>44</v>
      </c>
      <c r="C472" s="6">
        <v>46.5</v>
      </c>
    </row>
    <row r="473" spans="1:3" x14ac:dyDescent="0.3">
      <c r="A473" s="4">
        <v>696</v>
      </c>
      <c r="B473" s="6" t="s">
        <v>44</v>
      </c>
      <c r="C473" s="6">
        <v>46.5</v>
      </c>
    </row>
    <row r="474" spans="1:3" x14ac:dyDescent="0.3">
      <c r="A474" s="4">
        <v>1068</v>
      </c>
      <c r="B474" s="6" t="s">
        <v>44</v>
      </c>
      <c r="C474" s="6">
        <v>46.5</v>
      </c>
    </row>
    <row r="475" spans="1:3" x14ac:dyDescent="0.3">
      <c r="A475" s="4">
        <v>1087</v>
      </c>
      <c r="B475" s="6" t="s">
        <v>44</v>
      </c>
      <c r="C475" s="6">
        <v>46.5</v>
      </c>
    </row>
    <row r="476" spans="1:3" x14ac:dyDescent="0.3">
      <c r="A476" s="4">
        <v>1099</v>
      </c>
      <c r="B476" s="6" t="s">
        <v>44</v>
      </c>
      <c r="C476" s="6">
        <v>46.5</v>
      </c>
    </row>
    <row r="477" spans="1:3" x14ac:dyDescent="0.3">
      <c r="A477" s="4">
        <v>389</v>
      </c>
      <c r="B477" s="6" t="s">
        <v>44</v>
      </c>
      <c r="C477" s="6">
        <v>46.6</v>
      </c>
    </row>
    <row r="478" spans="1:3" x14ac:dyDescent="0.3">
      <c r="A478" s="4">
        <v>596</v>
      </c>
      <c r="B478" s="6" t="s">
        <v>44</v>
      </c>
      <c r="C478" s="6">
        <v>46.6</v>
      </c>
    </row>
    <row r="479" spans="1:3" x14ac:dyDescent="0.3">
      <c r="A479" s="4">
        <v>857</v>
      </c>
      <c r="B479" s="6" t="s">
        <v>44</v>
      </c>
      <c r="C479" s="6">
        <v>46.6</v>
      </c>
    </row>
    <row r="480" spans="1:3" x14ac:dyDescent="0.3">
      <c r="A480" s="4">
        <v>1107</v>
      </c>
      <c r="B480" s="6" t="s">
        <v>44</v>
      </c>
      <c r="C480" s="6">
        <v>46.6</v>
      </c>
    </row>
    <row r="481" spans="1:3" x14ac:dyDescent="0.3">
      <c r="A481" s="4">
        <v>1113</v>
      </c>
      <c r="B481" s="6" t="s">
        <v>44</v>
      </c>
      <c r="C481" s="6">
        <v>46.6</v>
      </c>
    </row>
    <row r="482" spans="1:3" x14ac:dyDescent="0.3">
      <c r="A482" s="4">
        <v>1685</v>
      </c>
      <c r="B482" s="6" t="s">
        <v>44</v>
      </c>
      <c r="C482" s="40">
        <v>46.6</v>
      </c>
    </row>
    <row r="483" spans="1:3" x14ac:dyDescent="0.3">
      <c r="A483" s="4">
        <v>515</v>
      </c>
      <c r="B483" s="6" t="s">
        <v>44</v>
      </c>
      <c r="C483" s="6">
        <v>46.7</v>
      </c>
    </row>
    <row r="484" spans="1:3" x14ac:dyDescent="0.3">
      <c r="A484" s="4">
        <v>996</v>
      </c>
      <c r="B484" s="6" t="s">
        <v>44</v>
      </c>
      <c r="C484" s="6">
        <v>46.7</v>
      </c>
    </row>
    <row r="485" spans="1:3" x14ac:dyDescent="0.3">
      <c r="A485" s="4">
        <v>1024</v>
      </c>
      <c r="B485" s="6" t="s">
        <v>44</v>
      </c>
      <c r="C485" s="6">
        <v>46.7</v>
      </c>
    </row>
    <row r="486" spans="1:3" x14ac:dyDescent="0.3">
      <c r="A486" s="4">
        <v>503</v>
      </c>
      <c r="B486" s="6" t="s">
        <v>44</v>
      </c>
      <c r="C486" s="6">
        <v>46.8</v>
      </c>
    </row>
    <row r="487" spans="1:3" x14ac:dyDescent="0.3">
      <c r="A487" s="4">
        <v>318</v>
      </c>
      <c r="B487" s="6" t="s">
        <v>44</v>
      </c>
      <c r="C487" s="6">
        <v>46.9</v>
      </c>
    </row>
    <row r="488" spans="1:3" x14ac:dyDescent="0.3">
      <c r="A488" s="4">
        <v>387</v>
      </c>
      <c r="B488" s="6" t="s">
        <v>44</v>
      </c>
      <c r="C488" s="6">
        <v>46.9</v>
      </c>
    </row>
    <row r="489" spans="1:3" x14ac:dyDescent="0.3">
      <c r="A489" s="4">
        <v>1032</v>
      </c>
      <c r="B489" s="6" t="s">
        <v>44</v>
      </c>
      <c r="C489" s="6">
        <v>46.9</v>
      </c>
    </row>
    <row r="490" spans="1:3" x14ac:dyDescent="0.3">
      <c r="A490" s="4">
        <v>308</v>
      </c>
      <c r="B490" s="6" t="s">
        <v>44</v>
      </c>
      <c r="C490" s="6">
        <v>47</v>
      </c>
    </row>
    <row r="491" spans="1:3" x14ac:dyDescent="0.3">
      <c r="A491" s="4">
        <v>317</v>
      </c>
      <c r="B491" s="6" t="s">
        <v>44</v>
      </c>
      <c r="C491" s="6">
        <v>47</v>
      </c>
    </row>
    <row r="492" spans="1:3" x14ac:dyDescent="0.3">
      <c r="A492" s="4">
        <v>328</v>
      </c>
      <c r="B492" s="6" t="s">
        <v>44</v>
      </c>
      <c r="C492" s="6">
        <v>47</v>
      </c>
    </row>
    <row r="493" spans="1:3" x14ac:dyDescent="0.3">
      <c r="A493" s="4">
        <v>332</v>
      </c>
      <c r="B493" s="6" t="s">
        <v>44</v>
      </c>
      <c r="C493" s="6">
        <v>47</v>
      </c>
    </row>
    <row r="494" spans="1:3" x14ac:dyDescent="0.3">
      <c r="A494" s="4">
        <v>693</v>
      </c>
      <c r="B494" s="6" t="s">
        <v>44</v>
      </c>
      <c r="C494" s="6">
        <v>47</v>
      </c>
    </row>
    <row r="495" spans="1:3" x14ac:dyDescent="0.3">
      <c r="A495" s="4">
        <v>982</v>
      </c>
      <c r="B495" s="6" t="s">
        <v>44</v>
      </c>
      <c r="C495" s="6">
        <v>47</v>
      </c>
    </row>
    <row r="496" spans="1:3" x14ac:dyDescent="0.3">
      <c r="A496" s="4">
        <v>1031</v>
      </c>
      <c r="B496" s="6" t="s">
        <v>44</v>
      </c>
      <c r="C496" s="6">
        <v>47</v>
      </c>
    </row>
    <row r="497" spans="1:3" x14ac:dyDescent="0.3">
      <c r="A497" s="4">
        <v>1039</v>
      </c>
      <c r="B497" s="6" t="s">
        <v>44</v>
      </c>
      <c r="C497" s="6">
        <v>47</v>
      </c>
    </row>
    <row r="498" spans="1:3" x14ac:dyDescent="0.3">
      <c r="A498" s="4">
        <v>467</v>
      </c>
      <c r="B498" s="6" t="s">
        <v>44</v>
      </c>
      <c r="C498" s="6">
        <v>47.1</v>
      </c>
    </row>
    <row r="499" spans="1:3" x14ac:dyDescent="0.3">
      <c r="A499" s="4">
        <v>222</v>
      </c>
      <c r="B499" s="6" t="s">
        <v>44</v>
      </c>
      <c r="C499" s="6">
        <v>47.2</v>
      </c>
    </row>
    <row r="500" spans="1:3" x14ac:dyDescent="0.3">
      <c r="A500" s="4">
        <v>251</v>
      </c>
      <c r="B500" s="6" t="s">
        <v>44</v>
      </c>
      <c r="C500" s="6">
        <v>47.2</v>
      </c>
    </row>
    <row r="501" spans="1:3" x14ac:dyDescent="0.3">
      <c r="A501" s="4">
        <v>664</v>
      </c>
      <c r="B501" s="6" t="s">
        <v>44</v>
      </c>
      <c r="C501" s="6">
        <v>47.2</v>
      </c>
    </row>
    <row r="502" spans="1:3" x14ac:dyDescent="0.3">
      <c r="A502" s="4">
        <v>676</v>
      </c>
      <c r="B502" s="6" t="s">
        <v>44</v>
      </c>
      <c r="C502" s="6">
        <v>47.2</v>
      </c>
    </row>
    <row r="503" spans="1:3" x14ac:dyDescent="0.3">
      <c r="A503" s="4">
        <v>354</v>
      </c>
      <c r="B503" s="6" t="s">
        <v>44</v>
      </c>
      <c r="C503" s="6">
        <v>47.3</v>
      </c>
    </row>
    <row r="504" spans="1:3" x14ac:dyDescent="0.3">
      <c r="A504" s="4">
        <v>599</v>
      </c>
      <c r="B504" s="6" t="s">
        <v>44</v>
      </c>
      <c r="C504" s="6">
        <v>47.3</v>
      </c>
    </row>
    <row r="505" spans="1:3" x14ac:dyDescent="0.3">
      <c r="A505" s="4">
        <v>478</v>
      </c>
      <c r="B505" s="6" t="s">
        <v>44</v>
      </c>
      <c r="C505" s="6">
        <v>47.5</v>
      </c>
    </row>
    <row r="506" spans="1:3" x14ac:dyDescent="0.3">
      <c r="A506" s="4">
        <v>617</v>
      </c>
      <c r="B506" s="6" t="s">
        <v>44</v>
      </c>
      <c r="C506" s="6">
        <v>47.5</v>
      </c>
    </row>
    <row r="507" spans="1:3" x14ac:dyDescent="0.3">
      <c r="A507" s="4">
        <v>635</v>
      </c>
      <c r="B507" s="6" t="s">
        <v>44</v>
      </c>
      <c r="C507" s="6">
        <v>47.5</v>
      </c>
    </row>
    <row r="508" spans="1:3" x14ac:dyDescent="0.3">
      <c r="A508" s="4">
        <v>1053</v>
      </c>
      <c r="B508" s="6" t="s">
        <v>44</v>
      </c>
      <c r="C508" s="6">
        <v>47.5</v>
      </c>
    </row>
    <row r="509" spans="1:3" x14ac:dyDescent="0.3">
      <c r="A509" s="4">
        <v>514</v>
      </c>
      <c r="B509" s="6" t="s">
        <v>44</v>
      </c>
      <c r="C509" s="6">
        <v>47.7</v>
      </c>
    </row>
    <row r="510" spans="1:3" x14ac:dyDescent="0.3">
      <c r="A510" s="4">
        <v>666</v>
      </c>
      <c r="B510" s="6" t="s">
        <v>44</v>
      </c>
      <c r="C510" s="6">
        <v>47.7</v>
      </c>
    </row>
    <row r="511" spans="1:3" x14ac:dyDescent="0.3">
      <c r="A511" s="4">
        <v>984</v>
      </c>
      <c r="B511" s="6" t="s">
        <v>44</v>
      </c>
      <c r="C511" s="6">
        <v>47.8</v>
      </c>
    </row>
    <row r="512" spans="1:3" x14ac:dyDescent="0.3">
      <c r="A512" s="4">
        <v>357</v>
      </c>
      <c r="B512" s="6" t="s">
        <v>44</v>
      </c>
      <c r="C512" s="6">
        <v>47.9</v>
      </c>
    </row>
    <row r="513" spans="1:3" x14ac:dyDescent="0.3">
      <c r="A513" s="4">
        <v>490</v>
      </c>
      <c r="B513" s="6" t="s">
        <v>44</v>
      </c>
      <c r="C513" s="6">
        <v>47.9</v>
      </c>
    </row>
    <row r="514" spans="1:3" x14ac:dyDescent="0.3">
      <c r="A514" s="4">
        <v>660</v>
      </c>
      <c r="B514" s="6" t="s">
        <v>44</v>
      </c>
      <c r="C514" s="6">
        <v>47.9</v>
      </c>
    </row>
    <row r="515" spans="1:3" x14ac:dyDescent="0.3">
      <c r="A515" s="4">
        <v>236</v>
      </c>
      <c r="B515" s="6" t="s">
        <v>44</v>
      </c>
      <c r="C515" s="6">
        <v>48</v>
      </c>
    </row>
    <row r="516" spans="1:3" x14ac:dyDescent="0.3">
      <c r="A516" s="4">
        <v>649</v>
      </c>
      <c r="B516" s="6" t="s">
        <v>44</v>
      </c>
      <c r="C516" s="6">
        <v>48</v>
      </c>
    </row>
    <row r="517" spans="1:3" x14ac:dyDescent="0.3">
      <c r="A517" s="4">
        <v>695</v>
      </c>
      <c r="B517" s="6" t="s">
        <v>44</v>
      </c>
      <c r="C517" s="6">
        <v>48</v>
      </c>
    </row>
    <row r="518" spans="1:3" x14ac:dyDescent="0.3">
      <c r="A518" s="4">
        <v>479</v>
      </c>
      <c r="B518" s="6" t="s">
        <v>44</v>
      </c>
      <c r="C518" s="6">
        <v>48.1</v>
      </c>
    </row>
    <row r="519" spans="1:3" x14ac:dyDescent="0.3">
      <c r="A519" s="4">
        <v>689</v>
      </c>
      <c r="B519" s="6" t="s">
        <v>44</v>
      </c>
      <c r="C519" s="6">
        <v>48.1</v>
      </c>
    </row>
    <row r="520" spans="1:3" x14ac:dyDescent="0.3">
      <c r="A520" s="4">
        <v>692</v>
      </c>
      <c r="B520" s="6" t="s">
        <v>44</v>
      </c>
      <c r="C520" s="6">
        <v>48.1</v>
      </c>
    </row>
    <row r="521" spans="1:3" x14ac:dyDescent="0.3">
      <c r="A521" s="4">
        <v>487</v>
      </c>
      <c r="B521" s="6" t="s">
        <v>44</v>
      </c>
      <c r="C521" s="6">
        <v>48.2</v>
      </c>
    </row>
    <row r="522" spans="1:3" x14ac:dyDescent="0.3">
      <c r="A522" s="4">
        <v>675</v>
      </c>
      <c r="B522" s="6" t="s">
        <v>44</v>
      </c>
      <c r="C522" s="6">
        <v>48.3</v>
      </c>
    </row>
    <row r="523" spans="1:3" x14ac:dyDescent="0.3">
      <c r="A523" s="4">
        <v>1015</v>
      </c>
      <c r="B523" s="6" t="s">
        <v>44</v>
      </c>
      <c r="C523" s="6">
        <v>48.3</v>
      </c>
    </row>
    <row r="524" spans="1:3" x14ac:dyDescent="0.3">
      <c r="A524" s="4">
        <v>1084</v>
      </c>
      <c r="B524" s="6" t="s">
        <v>44</v>
      </c>
      <c r="C524" s="6">
        <v>48.3</v>
      </c>
    </row>
    <row r="525" spans="1:3" x14ac:dyDescent="0.3">
      <c r="A525" s="4">
        <v>1115</v>
      </c>
      <c r="B525" s="6" t="s">
        <v>44</v>
      </c>
      <c r="C525" s="6">
        <v>48.3</v>
      </c>
    </row>
    <row r="526" spans="1:3" x14ac:dyDescent="0.3">
      <c r="A526" s="4">
        <v>417</v>
      </c>
      <c r="B526" s="6" t="s">
        <v>44</v>
      </c>
      <c r="C526" s="6">
        <v>48.4</v>
      </c>
    </row>
    <row r="527" spans="1:3" x14ac:dyDescent="0.3">
      <c r="A527" s="4">
        <v>847</v>
      </c>
      <c r="B527" s="6" t="s">
        <v>44</v>
      </c>
      <c r="C527" s="6">
        <v>48.5</v>
      </c>
    </row>
    <row r="528" spans="1:3" x14ac:dyDescent="0.3">
      <c r="A528" s="4">
        <v>1017</v>
      </c>
      <c r="B528" s="6" t="s">
        <v>44</v>
      </c>
      <c r="C528" s="6">
        <v>48.5</v>
      </c>
    </row>
    <row r="529" spans="1:3" x14ac:dyDescent="0.3">
      <c r="A529" s="4">
        <v>1066</v>
      </c>
      <c r="B529" s="6" t="s">
        <v>44</v>
      </c>
      <c r="C529" s="6">
        <v>48.5</v>
      </c>
    </row>
    <row r="530" spans="1:3" x14ac:dyDescent="0.3">
      <c r="A530" s="4">
        <v>1123</v>
      </c>
      <c r="B530" s="6" t="s">
        <v>44</v>
      </c>
      <c r="C530" s="6">
        <v>48.6</v>
      </c>
    </row>
    <row r="531" spans="1:3" x14ac:dyDescent="0.3">
      <c r="A531" s="4">
        <v>502</v>
      </c>
      <c r="B531" s="6" t="s">
        <v>44</v>
      </c>
      <c r="C531" s="6">
        <v>48.7</v>
      </c>
    </row>
    <row r="532" spans="1:3" x14ac:dyDescent="0.3">
      <c r="A532" s="4">
        <v>631</v>
      </c>
      <c r="B532" s="6" t="s">
        <v>44</v>
      </c>
      <c r="C532" s="6">
        <v>48.9</v>
      </c>
    </row>
    <row r="533" spans="1:3" x14ac:dyDescent="0.3">
      <c r="A533" s="4">
        <v>690</v>
      </c>
      <c r="B533" s="6" t="s">
        <v>44</v>
      </c>
      <c r="C533" s="6">
        <v>48.9</v>
      </c>
    </row>
    <row r="534" spans="1:3" x14ac:dyDescent="0.3">
      <c r="A534" s="4">
        <v>665</v>
      </c>
      <c r="B534" s="6" t="s">
        <v>44</v>
      </c>
      <c r="C534" s="6">
        <v>49</v>
      </c>
    </row>
    <row r="535" spans="1:3" x14ac:dyDescent="0.3">
      <c r="A535" s="4">
        <v>1105</v>
      </c>
      <c r="B535" s="6" t="s">
        <v>44</v>
      </c>
      <c r="C535" s="6">
        <v>49</v>
      </c>
    </row>
    <row r="536" spans="1:3" x14ac:dyDescent="0.3">
      <c r="A536" s="4">
        <v>1090</v>
      </c>
      <c r="B536" s="6" t="s">
        <v>44</v>
      </c>
      <c r="C536" s="6">
        <v>49.1</v>
      </c>
    </row>
    <row r="537" spans="1:3" x14ac:dyDescent="0.3">
      <c r="A537" s="4">
        <v>663</v>
      </c>
      <c r="B537" s="6" t="s">
        <v>44</v>
      </c>
      <c r="C537" s="6">
        <v>49.2</v>
      </c>
    </row>
    <row r="538" spans="1:3" x14ac:dyDescent="0.3">
      <c r="A538" s="4">
        <v>902</v>
      </c>
      <c r="B538" s="6" t="s">
        <v>44</v>
      </c>
      <c r="C538" s="6">
        <v>49.2</v>
      </c>
    </row>
    <row r="539" spans="1:3" x14ac:dyDescent="0.3">
      <c r="A539" s="4">
        <v>849</v>
      </c>
      <c r="B539" s="6" t="s">
        <v>44</v>
      </c>
      <c r="C539" s="6">
        <v>49.3</v>
      </c>
    </row>
    <row r="540" spans="1:3" x14ac:dyDescent="0.3">
      <c r="A540" s="4">
        <v>583</v>
      </c>
      <c r="B540" s="6" t="s">
        <v>44</v>
      </c>
      <c r="C540" s="6">
        <v>49.4</v>
      </c>
    </row>
    <row r="541" spans="1:3" x14ac:dyDescent="0.3">
      <c r="A541" s="4">
        <v>598</v>
      </c>
      <c r="B541" s="6" t="s">
        <v>44</v>
      </c>
      <c r="C541" s="6">
        <v>49.4</v>
      </c>
    </row>
    <row r="542" spans="1:3" x14ac:dyDescent="0.3">
      <c r="A542" s="4">
        <v>581</v>
      </c>
      <c r="B542" s="6" t="s">
        <v>44</v>
      </c>
      <c r="C542" s="6">
        <v>49.5</v>
      </c>
    </row>
    <row r="543" spans="1:3" x14ac:dyDescent="0.3">
      <c r="A543" s="4">
        <v>853</v>
      </c>
      <c r="B543" s="6" t="s">
        <v>44</v>
      </c>
      <c r="C543" s="6">
        <v>49.5</v>
      </c>
    </row>
    <row r="544" spans="1:3" x14ac:dyDescent="0.3">
      <c r="A544" s="4">
        <v>546</v>
      </c>
      <c r="B544" s="6" t="s">
        <v>44</v>
      </c>
      <c r="C544" s="6">
        <v>49.6</v>
      </c>
    </row>
    <row r="545" spans="1:3" x14ac:dyDescent="0.3">
      <c r="A545" s="4">
        <v>997</v>
      </c>
      <c r="B545" s="6" t="s">
        <v>44</v>
      </c>
      <c r="C545" s="6">
        <v>49.7</v>
      </c>
    </row>
    <row r="546" spans="1:3" x14ac:dyDescent="0.3">
      <c r="A546" s="4">
        <v>645</v>
      </c>
      <c r="B546" s="6" t="s">
        <v>44</v>
      </c>
      <c r="C546" s="6">
        <v>49.8</v>
      </c>
    </row>
    <row r="547" spans="1:3" x14ac:dyDescent="0.3">
      <c r="A547" s="4">
        <v>416</v>
      </c>
      <c r="B547" s="6" t="s">
        <v>44</v>
      </c>
      <c r="C547" s="6">
        <v>49.9</v>
      </c>
    </row>
    <row r="548" spans="1:3" x14ac:dyDescent="0.3">
      <c r="A548" s="4">
        <v>1038</v>
      </c>
      <c r="B548" s="6" t="s">
        <v>44</v>
      </c>
      <c r="C548" s="6">
        <v>49.9</v>
      </c>
    </row>
    <row r="549" spans="1:3" x14ac:dyDescent="0.3">
      <c r="A549" s="4">
        <v>637</v>
      </c>
      <c r="B549" s="6" t="s">
        <v>44</v>
      </c>
      <c r="C549" s="6">
        <v>50</v>
      </c>
    </row>
    <row r="550" spans="1:3" x14ac:dyDescent="0.3">
      <c r="A550" s="4">
        <v>589</v>
      </c>
      <c r="B550" s="6" t="s">
        <v>44</v>
      </c>
      <c r="C550" s="6">
        <v>50.1</v>
      </c>
    </row>
    <row r="551" spans="1:3" x14ac:dyDescent="0.3">
      <c r="A551" s="4">
        <v>623</v>
      </c>
      <c r="B551" s="6" t="s">
        <v>44</v>
      </c>
      <c r="C551" s="6">
        <v>50.1</v>
      </c>
    </row>
    <row r="552" spans="1:3" x14ac:dyDescent="0.3">
      <c r="A552" s="4">
        <v>1114</v>
      </c>
      <c r="B552" s="6" t="s">
        <v>44</v>
      </c>
      <c r="C552" s="6">
        <v>50.1</v>
      </c>
    </row>
    <row r="553" spans="1:3" x14ac:dyDescent="0.3">
      <c r="A553" s="4">
        <v>629</v>
      </c>
      <c r="B553" s="6" t="s">
        <v>44</v>
      </c>
      <c r="C553" s="6">
        <v>50.2</v>
      </c>
    </row>
    <row r="554" spans="1:3" x14ac:dyDescent="0.3">
      <c r="A554" s="4">
        <v>1023</v>
      </c>
      <c r="B554" s="6" t="s">
        <v>44</v>
      </c>
      <c r="C554" s="6">
        <v>50.2</v>
      </c>
    </row>
    <row r="555" spans="1:3" x14ac:dyDescent="0.3">
      <c r="A555" s="4">
        <v>1104</v>
      </c>
      <c r="B555" s="6" t="s">
        <v>44</v>
      </c>
      <c r="C555" s="6">
        <v>50.2</v>
      </c>
    </row>
    <row r="556" spans="1:3" x14ac:dyDescent="0.3">
      <c r="A556" s="4">
        <v>1110</v>
      </c>
      <c r="B556" s="6" t="s">
        <v>44</v>
      </c>
      <c r="C556" s="6">
        <v>50.2</v>
      </c>
    </row>
    <row r="557" spans="1:3" x14ac:dyDescent="0.3">
      <c r="A557" s="4">
        <v>643</v>
      </c>
      <c r="B557" s="6" t="s">
        <v>44</v>
      </c>
      <c r="C557" s="6">
        <v>50.4</v>
      </c>
    </row>
    <row r="558" spans="1:3" x14ac:dyDescent="0.3">
      <c r="A558" s="4">
        <v>1047</v>
      </c>
      <c r="B558" s="6" t="s">
        <v>44</v>
      </c>
      <c r="C558" s="6">
        <v>50.4</v>
      </c>
    </row>
    <row r="559" spans="1:3" x14ac:dyDescent="0.3">
      <c r="A559" s="4">
        <v>545</v>
      </c>
      <c r="B559" s="6" t="s">
        <v>44</v>
      </c>
      <c r="C559" s="6">
        <v>50.5</v>
      </c>
    </row>
    <row r="560" spans="1:3" x14ac:dyDescent="0.3">
      <c r="A560" s="4">
        <v>846</v>
      </c>
      <c r="B560" s="6" t="s">
        <v>44</v>
      </c>
      <c r="C560" s="6">
        <v>50.5</v>
      </c>
    </row>
    <row r="561" spans="1:3" x14ac:dyDescent="0.3">
      <c r="A561" s="4">
        <v>1037</v>
      </c>
      <c r="B561" s="6" t="s">
        <v>44</v>
      </c>
      <c r="C561" s="6">
        <v>50.5</v>
      </c>
    </row>
    <row r="562" spans="1:3" x14ac:dyDescent="0.3">
      <c r="A562" s="4">
        <v>632</v>
      </c>
      <c r="B562" s="6" t="s">
        <v>44</v>
      </c>
      <c r="C562" s="6">
        <v>50.7</v>
      </c>
    </row>
    <row r="563" spans="1:3" x14ac:dyDescent="0.3">
      <c r="A563" s="4">
        <v>192</v>
      </c>
      <c r="B563" s="6" t="s">
        <v>44</v>
      </c>
      <c r="C563" s="6">
        <v>51</v>
      </c>
    </row>
    <row r="564" spans="1:3" x14ac:dyDescent="0.3">
      <c r="A564" s="4">
        <v>491</v>
      </c>
      <c r="B564" s="6" t="s">
        <v>44</v>
      </c>
      <c r="C564" s="6">
        <v>51.2</v>
      </c>
    </row>
    <row r="565" spans="1:3" x14ac:dyDescent="0.3">
      <c r="A565" s="4">
        <v>388</v>
      </c>
      <c r="B565" s="6" t="s">
        <v>44</v>
      </c>
      <c r="C565" s="6">
        <v>51.3</v>
      </c>
    </row>
    <row r="566" spans="1:3" x14ac:dyDescent="0.3">
      <c r="A566" s="4">
        <v>843</v>
      </c>
      <c r="B566" s="6" t="s">
        <v>44</v>
      </c>
      <c r="C566" s="6">
        <v>51.3</v>
      </c>
    </row>
    <row r="567" spans="1:3" x14ac:dyDescent="0.3">
      <c r="A567" s="4">
        <v>1149</v>
      </c>
      <c r="B567" s="6" t="s">
        <v>44</v>
      </c>
      <c r="C567" s="6">
        <v>51.4</v>
      </c>
    </row>
    <row r="568" spans="1:3" x14ac:dyDescent="0.3">
      <c r="A568" s="4">
        <v>644</v>
      </c>
      <c r="B568" s="6" t="s">
        <v>44</v>
      </c>
      <c r="C568" s="6">
        <v>51.5</v>
      </c>
    </row>
    <row r="569" spans="1:3" x14ac:dyDescent="0.3">
      <c r="A569" s="4">
        <v>594</v>
      </c>
      <c r="B569" s="6" t="s">
        <v>44</v>
      </c>
      <c r="C569" s="6">
        <v>51.7</v>
      </c>
    </row>
    <row r="570" spans="1:3" x14ac:dyDescent="0.3">
      <c r="A570" s="4">
        <v>615</v>
      </c>
      <c r="B570" s="6" t="s">
        <v>44</v>
      </c>
      <c r="C570" s="6">
        <v>51.7</v>
      </c>
    </row>
    <row r="571" spans="1:3" x14ac:dyDescent="0.3">
      <c r="A571" s="4">
        <v>475</v>
      </c>
      <c r="B571" s="6" t="s">
        <v>44</v>
      </c>
      <c r="C571" s="6">
        <v>52.1</v>
      </c>
    </row>
    <row r="572" spans="1:3" x14ac:dyDescent="0.3">
      <c r="A572" s="4">
        <v>620</v>
      </c>
      <c r="B572" s="6" t="s">
        <v>44</v>
      </c>
      <c r="C572" s="6">
        <v>52.3</v>
      </c>
    </row>
    <row r="573" spans="1:3" x14ac:dyDescent="0.3">
      <c r="A573" s="4">
        <v>586</v>
      </c>
      <c r="B573" s="6" t="s">
        <v>44</v>
      </c>
      <c r="C573" s="6">
        <v>52.4</v>
      </c>
    </row>
    <row r="574" spans="1:3" x14ac:dyDescent="0.3">
      <c r="A574" s="4">
        <v>521</v>
      </c>
      <c r="B574" s="6" t="s">
        <v>44</v>
      </c>
      <c r="C574" s="6">
        <v>54.2</v>
      </c>
    </row>
    <row r="575" spans="1:3" x14ac:dyDescent="0.3">
      <c r="A575" s="4">
        <v>1109</v>
      </c>
      <c r="B575" s="6" t="s">
        <v>44</v>
      </c>
      <c r="C575" s="6">
        <v>54.8</v>
      </c>
    </row>
    <row r="576" spans="1:3" x14ac:dyDescent="0.3">
      <c r="A576" s="4">
        <v>223</v>
      </c>
      <c r="B576" s="6" t="s">
        <v>44</v>
      </c>
      <c r="C576" s="6">
        <v>55</v>
      </c>
    </row>
    <row r="577" spans="1:3" x14ac:dyDescent="0.3">
      <c r="A577" s="4">
        <v>1111</v>
      </c>
      <c r="B577" s="6" t="s">
        <v>44</v>
      </c>
      <c r="C577" s="6">
        <v>56.7</v>
      </c>
    </row>
  </sheetData>
  <sortState xmlns:xlrd2="http://schemas.microsoft.com/office/spreadsheetml/2017/richdata2" ref="A205:C577">
    <sortCondition ref="C205:C577"/>
  </sortState>
  <mergeCells count="4">
    <mergeCell ref="B1:F2"/>
    <mergeCell ref="E4:G4"/>
    <mergeCell ref="H8:K10"/>
    <mergeCell ref="K53:M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71C6-49F7-4284-A8E2-BE02524199BE}">
  <dimension ref="A2:AK440"/>
  <sheetViews>
    <sheetView topLeftCell="A372" zoomScale="99" zoomScaleNormal="99" workbookViewId="0">
      <selection activeCell="C382" sqref="C382"/>
    </sheetView>
  </sheetViews>
  <sheetFormatPr baseColWidth="10" defaultRowHeight="13" x14ac:dyDescent="0.3"/>
  <cols>
    <col min="2" max="2" width="12.3984375" bestFit="1" customWidth="1"/>
    <col min="5" max="5" width="11.3984375" bestFit="1" customWidth="1"/>
  </cols>
  <sheetData>
    <row r="2" spans="1:37" ht="32.5" x14ac:dyDescent="0.65">
      <c r="A2" s="12" t="s">
        <v>502</v>
      </c>
      <c r="B2" s="4"/>
      <c r="C2" s="4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7" x14ac:dyDescent="0.3">
      <c r="A3" s="4"/>
      <c r="B3" s="4"/>
      <c r="C3" s="4"/>
      <c r="D3" s="5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7" x14ac:dyDescent="0.3">
      <c r="A4" s="1" t="s">
        <v>0</v>
      </c>
      <c r="B4" s="1" t="s">
        <v>1</v>
      </c>
      <c r="C4" s="1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505</v>
      </c>
    </row>
    <row r="5" spans="1:37" x14ac:dyDescent="0.3">
      <c r="A5" s="4" t="s">
        <v>33</v>
      </c>
      <c r="B5" s="4">
        <v>610</v>
      </c>
      <c r="C5" s="4" t="s">
        <v>43</v>
      </c>
      <c r="D5" s="5">
        <v>44221</v>
      </c>
      <c r="E5" s="6"/>
      <c r="F5" s="6" t="s">
        <v>44</v>
      </c>
      <c r="G5" s="6" t="s">
        <v>40</v>
      </c>
      <c r="H5" s="6">
        <v>15.2</v>
      </c>
      <c r="I5" s="6">
        <v>8.9600000000000009</v>
      </c>
      <c r="J5" s="4"/>
      <c r="K5" s="4">
        <v>2.74</v>
      </c>
      <c r="L5" s="4">
        <v>2.41</v>
      </c>
      <c r="M5" s="4">
        <v>1.27</v>
      </c>
      <c r="N5" s="4">
        <v>1.47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>
        <v>668</v>
      </c>
      <c r="AF5" s="4">
        <v>38</v>
      </c>
      <c r="AG5" s="4">
        <v>2</v>
      </c>
    </row>
    <row r="6" spans="1:37" x14ac:dyDescent="0.3">
      <c r="A6" s="4" t="s">
        <v>33</v>
      </c>
      <c r="B6" s="4">
        <v>808</v>
      </c>
      <c r="C6" s="4" t="s">
        <v>302</v>
      </c>
      <c r="D6" s="8">
        <v>44199</v>
      </c>
      <c r="E6" s="6" t="s">
        <v>301</v>
      </c>
      <c r="F6" s="6" t="s">
        <v>44</v>
      </c>
      <c r="G6" s="6" t="s">
        <v>40</v>
      </c>
      <c r="H6" s="6">
        <v>15.7</v>
      </c>
      <c r="I6" s="6">
        <v>10.4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>
        <v>13</v>
      </c>
      <c r="AF6" s="4"/>
      <c r="AG6" s="4"/>
    </row>
    <row r="7" spans="1:37" x14ac:dyDescent="0.3">
      <c r="A7" s="4" t="s">
        <v>33</v>
      </c>
      <c r="B7" s="4">
        <v>839</v>
      </c>
      <c r="C7" s="4" t="s">
        <v>302</v>
      </c>
      <c r="D7" s="8">
        <v>44199</v>
      </c>
      <c r="E7" s="6"/>
      <c r="F7" s="6" t="s">
        <v>44</v>
      </c>
      <c r="G7" s="6" t="s">
        <v>40</v>
      </c>
      <c r="H7" s="6">
        <v>16.100000000000001</v>
      </c>
      <c r="I7" s="6">
        <v>11.2</v>
      </c>
      <c r="J7" s="4" t="s">
        <v>201</v>
      </c>
      <c r="K7" s="4">
        <v>9.24</v>
      </c>
      <c r="L7" s="4">
        <v>8.2200000000000006</v>
      </c>
      <c r="M7" s="4" t="s">
        <v>304</v>
      </c>
      <c r="N7" s="4" t="s">
        <v>305</v>
      </c>
      <c r="O7" s="4">
        <v>10.44</v>
      </c>
      <c r="P7" s="4">
        <v>9.11</v>
      </c>
      <c r="Q7" s="4" t="s">
        <v>201</v>
      </c>
      <c r="R7" s="4">
        <v>9.81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>
        <v>1900</v>
      </c>
      <c r="AF7" s="4">
        <v>124</v>
      </c>
      <c r="AG7" s="4">
        <v>168</v>
      </c>
    </row>
    <row r="8" spans="1:37" x14ac:dyDescent="0.3">
      <c r="A8" s="4" t="s">
        <v>33</v>
      </c>
      <c r="B8" s="4">
        <v>609</v>
      </c>
      <c r="C8" s="4" t="s">
        <v>43</v>
      </c>
      <c r="D8" s="5">
        <v>44361</v>
      </c>
      <c r="E8" s="6"/>
      <c r="F8" s="6" t="s">
        <v>44</v>
      </c>
      <c r="G8" s="6" t="s">
        <v>40</v>
      </c>
      <c r="H8" s="6">
        <v>23</v>
      </c>
      <c r="I8" s="6">
        <v>18</v>
      </c>
      <c r="J8" s="4"/>
      <c r="K8" s="4">
        <v>0.22</v>
      </c>
      <c r="L8" s="4">
        <v>0.3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>
        <v>14</v>
      </c>
      <c r="AF8" s="4"/>
      <c r="AG8" s="4"/>
    </row>
    <row r="9" spans="1:37" s="15" customFormat="1" x14ac:dyDescent="0.3">
      <c r="A9" s="4" t="s">
        <v>33</v>
      </c>
      <c r="B9" s="4">
        <v>495</v>
      </c>
      <c r="C9" s="4" t="s">
        <v>43</v>
      </c>
      <c r="D9" s="5">
        <v>44336</v>
      </c>
      <c r="E9" s="6"/>
      <c r="F9" s="6" t="s">
        <v>44</v>
      </c>
      <c r="G9" s="6" t="s">
        <v>40</v>
      </c>
      <c r="H9" s="6">
        <v>40</v>
      </c>
      <c r="I9" s="6">
        <v>27.2</v>
      </c>
      <c r="J9" s="4">
        <v>1.38</v>
      </c>
      <c r="K9" s="4">
        <v>7.4</v>
      </c>
      <c r="L9" s="4">
        <v>7.6</v>
      </c>
      <c r="M9" s="4">
        <v>6.81</v>
      </c>
      <c r="N9" s="4">
        <v>6.6</v>
      </c>
      <c r="O9" s="4">
        <v>7</v>
      </c>
      <c r="P9" s="4">
        <v>7.4</v>
      </c>
      <c r="Q9" s="4">
        <v>11.1</v>
      </c>
      <c r="R9" s="4">
        <v>10.84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>
        <v>1542</v>
      </c>
      <c r="AF9" s="4">
        <v>50</v>
      </c>
      <c r="AG9" s="4">
        <v>92</v>
      </c>
      <c r="AH9"/>
      <c r="AI9"/>
      <c r="AJ9"/>
      <c r="AK9"/>
    </row>
    <row r="10" spans="1:37" x14ac:dyDescent="0.3">
      <c r="A10" s="4" t="s">
        <v>33</v>
      </c>
      <c r="B10" s="4">
        <v>506</v>
      </c>
      <c r="C10" s="4" t="s">
        <v>43</v>
      </c>
      <c r="D10" s="5">
        <v>44336</v>
      </c>
      <c r="E10" s="6"/>
      <c r="F10" s="6" t="s">
        <v>44</v>
      </c>
      <c r="G10" s="6" t="s">
        <v>40</v>
      </c>
      <c r="H10" s="6">
        <v>41.6</v>
      </c>
      <c r="I10" s="6">
        <v>27.5</v>
      </c>
      <c r="J10" s="4"/>
      <c r="K10" s="4">
        <v>1.33</v>
      </c>
      <c r="L10" s="4">
        <v>1.33</v>
      </c>
      <c r="M10" s="4">
        <v>1.05</v>
      </c>
      <c r="N10" s="4">
        <v>1.2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>
        <v>452</v>
      </c>
      <c r="AF10" s="4">
        <v>24</v>
      </c>
      <c r="AG10" s="4">
        <v>4</v>
      </c>
    </row>
    <row r="11" spans="1:37" s="15" customFormat="1" x14ac:dyDescent="0.3">
      <c r="A11" s="4" t="s">
        <v>33</v>
      </c>
      <c r="B11" s="4">
        <v>542</v>
      </c>
      <c r="C11" s="4" t="s">
        <v>43</v>
      </c>
      <c r="D11" s="5">
        <v>44336</v>
      </c>
      <c r="E11" s="6"/>
      <c r="F11" s="6" t="s">
        <v>44</v>
      </c>
      <c r="G11" s="6" t="s">
        <v>40</v>
      </c>
      <c r="H11" s="6">
        <v>36.799999999999997</v>
      </c>
      <c r="I11" s="6">
        <v>28</v>
      </c>
      <c r="J11" s="4">
        <v>1.75</v>
      </c>
      <c r="K11" s="4">
        <v>8.1</v>
      </c>
      <c r="L11" s="4">
        <v>8.1</v>
      </c>
      <c r="M11" s="4" t="s">
        <v>136</v>
      </c>
      <c r="N11" s="4"/>
      <c r="O11" s="4" t="s">
        <v>137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>
        <v>1600</v>
      </c>
      <c r="AF11" s="4">
        <v>72</v>
      </c>
      <c r="AG11" s="4">
        <v>102</v>
      </c>
      <c r="AH11" s="14" t="s">
        <v>517</v>
      </c>
      <c r="AI11"/>
      <c r="AJ11"/>
      <c r="AK11"/>
    </row>
    <row r="12" spans="1:37" x14ac:dyDescent="0.3">
      <c r="A12" s="4" t="s">
        <v>33</v>
      </c>
      <c r="B12" s="4">
        <v>459</v>
      </c>
      <c r="C12" s="4" t="s">
        <v>43</v>
      </c>
      <c r="D12" s="5">
        <v>44336</v>
      </c>
      <c r="E12" s="6"/>
      <c r="F12" s="6" t="s">
        <v>44</v>
      </c>
      <c r="G12" s="6" t="s">
        <v>40</v>
      </c>
      <c r="H12" s="6">
        <v>44.7</v>
      </c>
      <c r="I12" s="6">
        <v>28.4</v>
      </c>
      <c r="J12" s="4"/>
      <c r="K12" s="4">
        <v>1.84</v>
      </c>
      <c r="L12" s="4">
        <v>1.9</v>
      </c>
      <c r="M12" s="4">
        <v>1.9</v>
      </c>
      <c r="N12" s="4">
        <v>1.89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v>704</v>
      </c>
      <c r="AF12" s="4">
        <v>36</v>
      </c>
      <c r="AG12" s="4">
        <v>4</v>
      </c>
      <c r="AH12" s="14" t="s">
        <v>549</v>
      </c>
    </row>
    <row r="13" spans="1:37" s="15" customFormat="1" x14ac:dyDescent="0.3">
      <c r="A13" s="4" t="s">
        <v>33</v>
      </c>
      <c r="B13" s="4">
        <v>659</v>
      </c>
      <c r="C13" s="4" t="s">
        <v>43</v>
      </c>
      <c r="D13" s="5">
        <v>44438</v>
      </c>
      <c r="E13" s="6">
        <v>40</v>
      </c>
      <c r="F13" s="6" t="s">
        <v>44</v>
      </c>
      <c r="G13" s="6" t="s">
        <v>40</v>
      </c>
      <c r="H13" s="6">
        <v>41.9</v>
      </c>
      <c r="I13" s="6">
        <v>28.5</v>
      </c>
      <c r="J13" s="4"/>
      <c r="K13" s="4">
        <v>7.9</v>
      </c>
      <c r="L13" s="4">
        <v>7.9</v>
      </c>
      <c r="M13" s="4" t="s">
        <v>228</v>
      </c>
      <c r="N13" s="4" t="s">
        <v>229</v>
      </c>
      <c r="O13" s="4" t="s">
        <v>73</v>
      </c>
      <c r="P13" s="4" t="s">
        <v>230</v>
      </c>
      <c r="Q13" s="4" t="s">
        <v>231</v>
      </c>
      <c r="R13" s="4" t="s">
        <v>232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>
        <v>1696</v>
      </c>
      <c r="AF13" s="4">
        <v>90</v>
      </c>
      <c r="AG13" s="4">
        <v>140</v>
      </c>
      <c r="AH13"/>
      <c r="AI13"/>
      <c r="AJ13"/>
      <c r="AK13"/>
    </row>
    <row r="14" spans="1:37" x14ac:dyDescent="0.3">
      <c r="A14" s="4" t="s">
        <v>33</v>
      </c>
      <c r="B14" s="4">
        <v>488</v>
      </c>
      <c r="C14" s="4" t="s">
        <v>43</v>
      </c>
      <c r="D14" s="5">
        <v>44336</v>
      </c>
      <c r="E14" s="6"/>
      <c r="F14" s="6" t="s">
        <v>44</v>
      </c>
      <c r="G14" s="6" t="s">
        <v>40</v>
      </c>
      <c r="H14" s="6">
        <v>35</v>
      </c>
      <c r="I14" s="6">
        <v>28.6</v>
      </c>
      <c r="J14" s="4">
        <v>1.8</v>
      </c>
      <c r="K14" s="4">
        <v>8.4</v>
      </c>
      <c r="L14" s="4">
        <v>8.1999999999999993</v>
      </c>
      <c r="M14" s="4" t="s">
        <v>82</v>
      </c>
      <c r="N14" s="4"/>
      <c r="O14" s="4">
        <v>6.8</v>
      </c>
      <c r="P14" s="4"/>
      <c r="Q14" s="4">
        <v>5.4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v>1458</v>
      </c>
      <c r="AF14" s="4"/>
      <c r="AG14" s="4">
        <v>70</v>
      </c>
      <c r="AH14" s="14" t="s">
        <v>554</v>
      </c>
    </row>
    <row r="15" spans="1:37" x14ac:dyDescent="0.3">
      <c r="A15" s="4" t="s">
        <v>33</v>
      </c>
      <c r="B15" s="4">
        <v>529</v>
      </c>
      <c r="C15" s="4" t="s">
        <v>43</v>
      </c>
      <c r="D15" s="5">
        <v>44336</v>
      </c>
      <c r="E15" s="6"/>
      <c r="F15" s="6" t="s">
        <v>44</v>
      </c>
      <c r="G15" s="6" t="s">
        <v>40</v>
      </c>
      <c r="H15" s="6">
        <v>44.5</v>
      </c>
      <c r="I15" s="6">
        <v>28.6</v>
      </c>
      <c r="J15" s="4"/>
      <c r="K15" s="4">
        <v>1.78</v>
      </c>
      <c r="L15" s="4">
        <v>1.78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564</v>
      </c>
      <c r="AF15" s="4">
        <v>38</v>
      </c>
      <c r="AG15" s="4">
        <v>4</v>
      </c>
      <c r="AH15" s="14" t="s">
        <v>517</v>
      </c>
    </row>
    <row r="16" spans="1:37" s="15" customFormat="1" x14ac:dyDescent="0.3">
      <c r="A16" s="4" t="s">
        <v>33</v>
      </c>
      <c r="B16" s="4">
        <v>525</v>
      </c>
      <c r="C16" s="4" t="s">
        <v>43</v>
      </c>
      <c r="D16" s="5">
        <v>44336</v>
      </c>
      <c r="E16" s="6"/>
      <c r="F16" s="6" t="s">
        <v>44</v>
      </c>
      <c r="G16" s="6" t="s">
        <v>40</v>
      </c>
      <c r="H16" s="6">
        <v>45.3</v>
      </c>
      <c r="I16" s="6">
        <v>28.7</v>
      </c>
      <c r="J16" s="4"/>
      <c r="K16" s="4">
        <v>0.9</v>
      </c>
      <c r="L16" s="4">
        <v>0.9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>
        <v>310</v>
      </c>
      <c r="AF16" s="4">
        <v>20</v>
      </c>
      <c r="AG16" s="4">
        <v>0</v>
      </c>
      <c r="AH16" s="14" t="s">
        <v>517</v>
      </c>
      <c r="AI16"/>
      <c r="AJ16"/>
      <c r="AK16"/>
    </row>
    <row r="17" spans="1:37" s="15" customFormat="1" x14ac:dyDescent="0.3">
      <c r="A17" s="4" t="s">
        <v>33</v>
      </c>
      <c r="B17" s="4">
        <v>1000</v>
      </c>
      <c r="C17" s="4" t="s">
        <v>302</v>
      </c>
      <c r="D17" s="4" t="s">
        <v>325</v>
      </c>
      <c r="E17" s="6">
        <v>40</v>
      </c>
      <c r="F17" s="6" t="s">
        <v>44</v>
      </c>
      <c r="G17" s="6" t="s">
        <v>40</v>
      </c>
      <c r="H17" s="6">
        <v>45.1</v>
      </c>
      <c r="I17" s="6">
        <v>29</v>
      </c>
      <c r="J17" s="4" t="s">
        <v>201</v>
      </c>
      <c r="K17" s="4">
        <v>1.95</v>
      </c>
      <c r="L17" s="4">
        <v>1.53</v>
      </c>
      <c r="M17" s="4" t="s">
        <v>365</v>
      </c>
      <c r="N17" s="4" t="s">
        <v>366</v>
      </c>
      <c r="O17" s="4" t="s">
        <v>201</v>
      </c>
      <c r="P17" s="4" t="s">
        <v>201</v>
      </c>
      <c r="Q17" s="4" t="s">
        <v>201</v>
      </c>
      <c r="R17" s="4" t="s">
        <v>201</v>
      </c>
      <c r="S17" s="4" t="s">
        <v>201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>
        <v>466</v>
      </c>
      <c r="AF17" s="4">
        <v>26</v>
      </c>
      <c r="AG17" s="4">
        <v>2</v>
      </c>
      <c r="AH17"/>
      <c r="AI17"/>
      <c r="AJ17"/>
      <c r="AK17"/>
    </row>
    <row r="18" spans="1:37" s="15" customFormat="1" x14ac:dyDescent="0.3">
      <c r="A18" s="4" t="s">
        <v>33</v>
      </c>
      <c r="B18" s="4">
        <v>499</v>
      </c>
      <c r="C18" s="4" t="s">
        <v>43</v>
      </c>
      <c r="D18" s="5">
        <v>44336</v>
      </c>
      <c r="E18" s="6"/>
      <c r="F18" s="6" t="s">
        <v>44</v>
      </c>
      <c r="G18" s="6" t="s">
        <v>40</v>
      </c>
      <c r="H18" s="6">
        <v>45.9</v>
      </c>
      <c r="I18" s="6">
        <v>29</v>
      </c>
      <c r="J18" s="4">
        <v>1.46</v>
      </c>
      <c r="K18" s="4">
        <v>8.42</v>
      </c>
      <c r="L18" s="4">
        <v>8.02</v>
      </c>
      <c r="M18" s="4">
        <v>8</v>
      </c>
      <c r="N18" s="4">
        <v>7.8</v>
      </c>
      <c r="O18" s="4">
        <v>6.85</v>
      </c>
      <c r="P18" s="4">
        <v>6.94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>
        <v>2044</v>
      </c>
      <c r="AF18" s="4">
        <v>70</v>
      </c>
      <c r="AG18" s="4">
        <v>156</v>
      </c>
      <c r="AH18"/>
      <c r="AI18"/>
      <c r="AJ18"/>
      <c r="AK18"/>
    </row>
    <row r="19" spans="1:37" x14ac:dyDescent="0.3">
      <c r="A19" s="4" t="s">
        <v>33</v>
      </c>
      <c r="B19" s="4">
        <v>554</v>
      </c>
      <c r="C19" s="4" t="s">
        <v>43</v>
      </c>
      <c r="D19" s="5">
        <v>44336</v>
      </c>
      <c r="E19" s="6"/>
      <c r="F19" s="6" t="s">
        <v>44</v>
      </c>
      <c r="G19" s="6" t="s">
        <v>40</v>
      </c>
      <c r="H19" s="6">
        <v>43.7</v>
      </c>
      <c r="I19" s="6">
        <v>29.2</v>
      </c>
      <c r="J19" s="4"/>
      <c r="K19" s="4">
        <v>1.4</v>
      </c>
      <c r="L19" s="4">
        <v>1.95</v>
      </c>
      <c r="M19" s="4">
        <v>0.9</v>
      </c>
      <c r="N19" s="4">
        <v>0.7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>
        <v>488</v>
      </c>
      <c r="AF19" s="4">
        <v>26</v>
      </c>
      <c r="AG19" s="4">
        <v>2</v>
      </c>
    </row>
    <row r="20" spans="1:37" x14ac:dyDescent="0.3">
      <c r="A20" s="4" t="s">
        <v>33</v>
      </c>
      <c r="B20" s="4">
        <v>551</v>
      </c>
      <c r="C20" s="4" t="s">
        <v>43</v>
      </c>
      <c r="D20" s="5">
        <v>44336</v>
      </c>
      <c r="E20" s="6"/>
      <c r="F20" s="6" t="s">
        <v>44</v>
      </c>
      <c r="G20" s="6" t="s">
        <v>40</v>
      </c>
      <c r="H20" s="6">
        <v>36.9</v>
      </c>
      <c r="I20" s="6">
        <v>29.3</v>
      </c>
      <c r="J20" s="4"/>
      <c r="K20" s="4">
        <v>0.96</v>
      </c>
      <c r="L20" s="4">
        <v>0.91</v>
      </c>
      <c r="M20" s="4" t="s">
        <v>146</v>
      </c>
      <c r="N20" s="4" t="s">
        <v>147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v>452</v>
      </c>
      <c r="AF20" s="4">
        <v>30</v>
      </c>
      <c r="AG20" s="4">
        <v>2</v>
      </c>
    </row>
    <row r="21" spans="1:37" s="15" customFormat="1" x14ac:dyDescent="0.3">
      <c r="A21" s="4" t="s">
        <v>33</v>
      </c>
      <c r="B21" s="4">
        <v>527</v>
      </c>
      <c r="C21" s="4" t="s">
        <v>43</v>
      </c>
      <c r="D21" s="5">
        <v>44336</v>
      </c>
      <c r="E21" s="6"/>
      <c r="F21" s="6" t="s">
        <v>44</v>
      </c>
      <c r="G21" s="6" t="s">
        <v>40</v>
      </c>
      <c r="H21" s="6">
        <v>44.6</v>
      </c>
      <c r="I21" s="6">
        <v>29.5</v>
      </c>
      <c r="J21" s="4">
        <v>1.1000000000000001</v>
      </c>
      <c r="K21" s="4">
        <v>7.25</v>
      </c>
      <c r="L21" s="4">
        <v>7</v>
      </c>
      <c r="M21" s="4">
        <v>3.3</v>
      </c>
      <c r="N21" s="4">
        <v>3.5</v>
      </c>
      <c r="O21" s="4">
        <v>4.3</v>
      </c>
      <c r="P21" s="4">
        <v>4.3099999999999996</v>
      </c>
      <c r="Q21" s="4">
        <v>9.1300000000000008</v>
      </c>
      <c r="R21" s="4">
        <v>8.77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>
        <v>1216</v>
      </c>
      <c r="AF21" s="4">
        <v>78</v>
      </c>
      <c r="AG21" s="4">
        <v>22</v>
      </c>
      <c r="AH21"/>
      <c r="AI21"/>
      <c r="AJ21"/>
      <c r="AK21"/>
    </row>
    <row r="22" spans="1:37" x14ac:dyDescent="0.3">
      <c r="A22" s="4" t="s">
        <v>33</v>
      </c>
      <c r="B22" s="4">
        <v>858</v>
      </c>
      <c r="C22" s="4" t="s">
        <v>303</v>
      </c>
      <c r="D22" s="5">
        <v>44480</v>
      </c>
      <c r="E22" s="6">
        <v>40</v>
      </c>
      <c r="F22" s="6" t="s">
        <v>44</v>
      </c>
      <c r="G22" s="6" t="s">
        <v>40</v>
      </c>
      <c r="H22" s="6">
        <v>51</v>
      </c>
      <c r="I22" s="6">
        <v>29.8</v>
      </c>
      <c r="J22" s="4" t="s">
        <v>201</v>
      </c>
      <c r="K22" s="4">
        <v>6.3</v>
      </c>
      <c r="L22" s="4">
        <v>7</v>
      </c>
      <c r="M22" s="4" t="s">
        <v>323</v>
      </c>
      <c r="N22" s="4" t="s">
        <v>324</v>
      </c>
      <c r="O22" s="4">
        <v>10.78</v>
      </c>
      <c r="P22" s="4">
        <v>10.67</v>
      </c>
      <c r="Q22" s="4">
        <v>11.56</v>
      </c>
      <c r="R22" s="4">
        <v>10.89</v>
      </c>
      <c r="S22" s="4" t="s">
        <v>201</v>
      </c>
      <c r="T22" s="4" t="s">
        <v>201</v>
      </c>
      <c r="U22" s="4" t="s">
        <v>201</v>
      </c>
      <c r="V22" s="4" t="s">
        <v>201</v>
      </c>
      <c r="W22" s="4" t="s">
        <v>201</v>
      </c>
      <c r="X22" s="4" t="s">
        <v>201</v>
      </c>
      <c r="Y22" s="4" t="s">
        <v>201</v>
      </c>
      <c r="Z22" s="4" t="s">
        <v>201</v>
      </c>
      <c r="AA22" s="4" t="s">
        <v>201</v>
      </c>
      <c r="AB22" s="4" t="s">
        <v>201</v>
      </c>
      <c r="AC22" s="4"/>
      <c r="AD22" s="4"/>
      <c r="AE22" s="4">
        <v>2134</v>
      </c>
      <c r="AF22" s="4">
        <v>92</v>
      </c>
      <c r="AG22" s="4">
        <v>144</v>
      </c>
    </row>
    <row r="23" spans="1:37" x14ac:dyDescent="0.3">
      <c r="A23" s="4" t="s">
        <v>33</v>
      </c>
      <c r="B23" s="4">
        <v>494</v>
      </c>
      <c r="C23" s="4" t="s">
        <v>43</v>
      </c>
      <c r="D23" s="5">
        <v>44336</v>
      </c>
      <c r="E23" s="6"/>
      <c r="F23" s="6" t="s">
        <v>44</v>
      </c>
      <c r="G23" s="6" t="s">
        <v>40</v>
      </c>
      <c r="H23" s="6">
        <v>43.5</v>
      </c>
      <c r="I23" s="6">
        <v>30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>
        <v>360</v>
      </c>
      <c r="AF23" s="4">
        <v>16</v>
      </c>
      <c r="AG23" s="4">
        <v>2</v>
      </c>
      <c r="AH23" s="14" t="s">
        <v>517</v>
      </c>
    </row>
    <row r="24" spans="1:37" s="15" customFormat="1" x14ac:dyDescent="0.3">
      <c r="A24" s="4" t="s">
        <v>33</v>
      </c>
      <c r="B24" s="4">
        <v>553</v>
      </c>
      <c r="C24" s="4" t="s">
        <v>43</v>
      </c>
      <c r="D24" s="5">
        <v>44336</v>
      </c>
      <c r="E24" s="6"/>
      <c r="F24" s="6" t="s">
        <v>44</v>
      </c>
      <c r="G24" s="6" t="s">
        <v>40</v>
      </c>
      <c r="H24" s="6">
        <v>46.5</v>
      </c>
      <c r="I24" s="6">
        <v>30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>
        <v>362</v>
      </c>
      <c r="AF24" s="4">
        <v>20</v>
      </c>
      <c r="AG24" s="4">
        <v>1</v>
      </c>
      <c r="AH24" s="14" t="s">
        <v>566</v>
      </c>
      <c r="AI24"/>
      <c r="AJ24"/>
      <c r="AK24"/>
    </row>
    <row r="25" spans="1:37" x14ac:dyDescent="0.3">
      <c r="A25" s="4" t="s">
        <v>33</v>
      </c>
      <c r="B25" s="4">
        <v>548</v>
      </c>
      <c r="C25" s="4" t="s">
        <v>43</v>
      </c>
      <c r="D25" s="5">
        <v>44336</v>
      </c>
      <c r="E25" s="6"/>
      <c r="F25" s="6" t="s">
        <v>44</v>
      </c>
      <c r="G25" s="6" t="s">
        <v>40</v>
      </c>
      <c r="H25" s="6">
        <v>48.5</v>
      </c>
      <c r="I25" s="6">
        <v>30.1</v>
      </c>
      <c r="J25" s="4"/>
      <c r="K25" s="4"/>
      <c r="L25" s="4">
        <v>1.32</v>
      </c>
      <c r="M25" s="4" t="s">
        <v>144</v>
      </c>
      <c r="N25" s="4" t="s">
        <v>145</v>
      </c>
      <c r="O25" s="4"/>
      <c r="P25" s="4"/>
      <c r="Q25" s="4">
        <v>0.9</v>
      </c>
      <c r="R25" s="4">
        <v>0.72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>
        <v>326</v>
      </c>
      <c r="AF25" s="4">
        <v>26</v>
      </c>
      <c r="AG25" s="4"/>
      <c r="AH25" s="14" t="s">
        <v>558</v>
      </c>
    </row>
    <row r="26" spans="1:37" s="15" customFormat="1" x14ac:dyDescent="0.3">
      <c r="A26" s="4" t="s">
        <v>33</v>
      </c>
      <c r="B26" s="4">
        <v>1001</v>
      </c>
      <c r="C26" s="4" t="s">
        <v>302</v>
      </c>
      <c r="D26" s="4" t="s">
        <v>325</v>
      </c>
      <c r="E26" s="6">
        <v>40</v>
      </c>
      <c r="F26" s="6" t="s">
        <v>44</v>
      </c>
      <c r="G26" s="6" t="s">
        <v>40</v>
      </c>
      <c r="H26" s="6">
        <v>47.7</v>
      </c>
      <c r="I26" s="6">
        <v>30.2</v>
      </c>
      <c r="J26" s="4" t="s">
        <v>201</v>
      </c>
      <c r="K26" s="4">
        <v>1.02</v>
      </c>
      <c r="L26" s="4">
        <v>1.1599999999999999</v>
      </c>
      <c r="M26" s="4" t="s">
        <v>367</v>
      </c>
      <c r="N26" s="4" t="s">
        <v>368</v>
      </c>
      <c r="O26" s="4"/>
      <c r="P26" s="4"/>
      <c r="Q26" s="4" t="s">
        <v>201</v>
      </c>
      <c r="R26" s="4" t="s">
        <v>201</v>
      </c>
      <c r="S26" s="4" t="s">
        <v>201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>
        <v>468</v>
      </c>
      <c r="AF26" s="4">
        <v>20</v>
      </c>
      <c r="AG26" s="4">
        <v>2</v>
      </c>
      <c r="AH26"/>
      <c r="AI26"/>
      <c r="AJ26"/>
      <c r="AK26"/>
    </row>
    <row r="27" spans="1:37" x14ac:dyDescent="0.3">
      <c r="A27" s="4" t="s">
        <v>33</v>
      </c>
      <c r="B27" s="4">
        <v>534</v>
      </c>
      <c r="C27" s="4" t="s">
        <v>43</v>
      </c>
      <c r="D27" s="5">
        <v>44336</v>
      </c>
      <c r="E27" s="6"/>
      <c r="F27" s="6" t="s">
        <v>44</v>
      </c>
      <c r="G27" s="6" t="s">
        <v>40</v>
      </c>
      <c r="H27" s="6">
        <v>46</v>
      </c>
      <c r="I27" s="6">
        <v>30.4</v>
      </c>
      <c r="J27" s="4"/>
      <c r="K27" s="4">
        <v>8.5500000000000007</v>
      </c>
      <c r="L27" s="4">
        <v>8.83</v>
      </c>
      <c r="M27" s="4" t="s">
        <v>127</v>
      </c>
      <c r="N27" s="4" t="s">
        <v>128</v>
      </c>
      <c r="O27" s="4">
        <v>7.71</v>
      </c>
      <c r="P27" s="4">
        <v>7.41</v>
      </c>
      <c r="Q27" s="4">
        <v>5.5</v>
      </c>
      <c r="R27" s="4">
        <v>5.5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>
        <v>1772</v>
      </c>
      <c r="AF27" s="4">
        <v>90</v>
      </c>
      <c r="AG27" s="4">
        <v>124</v>
      </c>
      <c r="AH27" s="14" t="s">
        <v>517</v>
      </c>
    </row>
    <row r="28" spans="1:37" s="15" customFormat="1" x14ac:dyDescent="0.3">
      <c r="A28" s="4" t="s">
        <v>33</v>
      </c>
      <c r="B28" s="4">
        <v>555</v>
      </c>
      <c r="C28" s="4" t="s">
        <v>43</v>
      </c>
      <c r="D28" s="5">
        <v>44336</v>
      </c>
      <c r="E28" s="6"/>
      <c r="F28" s="6" t="s">
        <v>44</v>
      </c>
      <c r="G28" s="6" t="s">
        <v>40</v>
      </c>
      <c r="H28" s="6">
        <v>46.2</v>
      </c>
      <c r="I28" s="6">
        <v>30.6</v>
      </c>
      <c r="J28" s="4"/>
      <c r="K28" s="4"/>
      <c r="L28" s="4"/>
      <c r="M28" s="4" t="s">
        <v>148</v>
      </c>
      <c r="N28" s="4" t="s">
        <v>149</v>
      </c>
      <c r="O28" s="4"/>
      <c r="P28" s="4"/>
      <c r="Q28" s="4">
        <v>1.55</v>
      </c>
      <c r="R28" s="4">
        <v>1.43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v>404</v>
      </c>
      <c r="AF28" s="4">
        <v>28</v>
      </c>
      <c r="AG28" s="4">
        <v>2</v>
      </c>
      <c r="AH28" s="14" t="s">
        <v>565</v>
      </c>
      <c r="AI28"/>
      <c r="AJ28"/>
      <c r="AK28"/>
    </row>
    <row r="29" spans="1:37" x14ac:dyDescent="0.3">
      <c r="A29" s="4" t="s">
        <v>33</v>
      </c>
      <c r="B29" s="4">
        <v>482</v>
      </c>
      <c r="C29" s="4" t="s">
        <v>43</v>
      </c>
      <c r="D29" s="5">
        <v>44336</v>
      </c>
      <c r="E29" s="6"/>
      <c r="F29" s="6" t="s">
        <v>44</v>
      </c>
      <c r="G29" s="6" t="s">
        <v>40</v>
      </c>
      <c r="H29" s="6">
        <v>47.7</v>
      </c>
      <c r="I29" s="6">
        <v>30.6</v>
      </c>
      <c r="J29" s="4">
        <v>1.85</v>
      </c>
      <c r="K29" s="4">
        <v>5.9</v>
      </c>
      <c r="L29" s="4">
        <v>5.9</v>
      </c>
      <c r="M29" s="4">
        <v>4.2</v>
      </c>
      <c r="N29" s="4">
        <v>4.5</v>
      </c>
      <c r="O29" s="4">
        <v>4.32</v>
      </c>
      <c r="P29" s="4">
        <v>4.32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>
        <v>1142</v>
      </c>
      <c r="AF29" s="4">
        <v>58</v>
      </c>
      <c r="AG29" s="4">
        <v>32</v>
      </c>
      <c r="AH29" s="14" t="s">
        <v>552</v>
      </c>
    </row>
    <row r="30" spans="1:37" s="15" customFormat="1" x14ac:dyDescent="0.3">
      <c r="A30" s="4" t="s">
        <v>33</v>
      </c>
      <c r="B30" s="4">
        <v>497</v>
      </c>
      <c r="C30" s="4" t="s">
        <v>43</v>
      </c>
      <c r="D30" s="5">
        <v>44336</v>
      </c>
      <c r="E30" s="6"/>
      <c r="F30" s="6" t="s">
        <v>44</v>
      </c>
      <c r="G30" s="6" t="s">
        <v>40</v>
      </c>
      <c r="H30" s="6">
        <v>42.7</v>
      </c>
      <c r="I30" s="6">
        <v>30.8</v>
      </c>
      <c r="J30" s="4"/>
      <c r="K30" s="4">
        <v>2.2000000000000002</v>
      </c>
      <c r="L30" s="4">
        <v>2.2999999999999998</v>
      </c>
      <c r="M30" s="4" t="s">
        <v>87</v>
      </c>
      <c r="N30" s="4" t="s">
        <v>87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>
        <v>1001</v>
      </c>
      <c r="AF30" s="4">
        <v>76</v>
      </c>
      <c r="AG30" s="4">
        <v>2</v>
      </c>
      <c r="AH30"/>
      <c r="AI30"/>
      <c r="AJ30"/>
      <c r="AK30"/>
    </row>
    <row r="31" spans="1:37" x14ac:dyDescent="0.3">
      <c r="A31" s="4" t="s">
        <v>33</v>
      </c>
      <c r="B31" s="4">
        <v>265</v>
      </c>
      <c r="C31" s="4" t="s">
        <v>36</v>
      </c>
      <c r="D31" s="4" t="s">
        <v>42</v>
      </c>
      <c r="E31" s="6">
        <v>24</v>
      </c>
      <c r="F31" s="6" t="s">
        <v>44</v>
      </c>
      <c r="G31" s="6" t="s">
        <v>40</v>
      </c>
      <c r="H31" s="6">
        <v>42.8</v>
      </c>
      <c r="I31" s="6">
        <v>31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>
        <v>1412</v>
      </c>
      <c r="AF31" s="4">
        <v>88</v>
      </c>
      <c r="AG31" s="4">
        <v>8</v>
      </c>
    </row>
    <row r="32" spans="1:37" s="15" customFormat="1" x14ac:dyDescent="0.3">
      <c r="A32" s="4" t="s">
        <v>33</v>
      </c>
      <c r="B32" s="4">
        <v>1063</v>
      </c>
      <c r="C32" s="4" t="s">
        <v>302</v>
      </c>
      <c r="D32" s="8">
        <v>44835</v>
      </c>
      <c r="E32" s="6">
        <v>40</v>
      </c>
      <c r="F32" s="6" t="s">
        <v>44</v>
      </c>
      <c r="G32" s="6" t="s">
        <v>40</v>
      </c>
      <c r="H32" s="6">
        <v>44.2</v>
      </c>
      <c r="I32" s="6">
        <v>31.3</v>
      </c>
      <c r="J32" s="4" t="s">
        <v>201</v>
      </c>
      <c r="K32" s="4">
        <v>2.1</v>
      </c>
      <c r="L32" s="4" t="s">
        <v>201</v>
      </c>
      <c r="M32" s="4">
        <v>1.5</v>
      </c>
      <c r="N32" s="4">
        <v>1.7</v>
      </c>
      <c r="O32" s="4" t="s">
        <v>201</v>
      </c>
      <c r="P32" s="4" t="s">
        <v>201</v>
      </c>
      <c r="Q32" s="4" t="s">
        <v>201</v>
      </c>
      <c r="R32" s="4" t="s">
        <v>201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>
        <v>498</v>
      </c>
      <c r="AF32" s="4">
        <v>26</v>
      </c>
      <c r="AG32" s="4">
        <v>2</v>
      </c>
      <c r="AH32"/>
      <c r="AI32"/>
      <c r="AJ32"/>
      <c r="AK32"/>
    </row>
    <row r="33" spans="1:37" s="15" customFormat="1" x14ac:dyDescent="0.3">
      <c r="A33" s="4" t="s">
        <v>33</v>
      </c>
      <c r="B33" s="4">
        <v>485</v>
      </c>
      <c r="C33" s="4" t="s">
        <v>43</v>
      </c>
      <c r="D33" s="5">
        <v>44336</v>
      </c>
      <c r="E33" s="6"/>
      <c r="F33" s="6" t="s">
        <v>44</v>
      </c>
      <c r="G33" s="6" t="s">
        <v>40</v>
      </c>
      <c r="H33" s="6">
        <v>49.9</v>
      </c>
      <c r="I33" s="6">
        <v>31.4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>
        <v>550</v>
      </c>
      <c r="AF33" s="4">
        <v>32</v>
      </c>
      <c r="AG33" s="4"/>
      <c r="AH33" s="14" t="s">
        <v>522</v>
      </c>
      <c r="AI33"/>
      <c r="AJ33"/>
      <c r="AK33"/>
    </row>
    <row r="34" spans="1:37" x14ac:dyDescent="0.3">
      <c r="A34" s="4" t="s">
        <v>33</v>
      </c>
      <c r="B34" s="4">
        <v>1061</v>
      </c>
      <c r="C34" s="4" t="s">
        <v>302</v>
      </c>
      <c r="D34" s="8">
        <v>44835</v>
      </c>
      <c r="E34" s="6">
        <v>40</v>
      </c>
      <c r="F34" s="6" t="s">
        <v>44</v>
      </c>
      <c r="G34" s="6" t="s">
        <v>40</v>
      </c>
      <c r="H34" s="6">
        <v>46.5</v>
      </c>
      <c r="I34" s="6">
        <v>31.5</v>
      </c>
      <c r="J34" s="4" t="s">
        <v>201</v>
      </c>
      <c r="K34" s="4">
        <v>1.4</v>
      </c>
      <c r="L34" s="4">
        <v>1.55</v>
      </c>
      <c r="M34" s="4" t="s">
        <v>201</v>
      </c>
      <c r="N34" s="4" t="s">
        <v>201</v>
      </c>
      <c r="O34" s="4" t="s">
        <v>201</v>
      </c>
      <c r="P34" s="4" t="s">
        <v>201</v>
      </c>
      <c r="Q34" s="4" t="s">
        <v>201</v>
      </c>
      <c r="R34" s="4" t="s">
        <v>201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>
        <v>434</v>
      </c>
      <c r="AF34" s="4">
        <v>16</v>
      </c>
      <c r="AG34" s="4">
        <v>2</v>
      </c>
    </row>
    <row r="35" spans="1:37" x14ac:dyDescent="0.3">
      <c r="A35" s="4" t="s">
        <v>33</v>
      </c>
      <c r="B35" s="4">
        <v>662</v>
      </c>
      <c r="C35" s="4" t="s">
        <v>43</v>
      </c>
      <c r="D35" s="5">
        <v>44438</v>
      </c>
      <c r="E35" s="6">
        <v>40</v>
      </c>
      <c r="F35" s="6" t="s">
        <v>44</v>
      </c>
      <c r="G35" s="6" t="s">
        <v>40</v>
      </c>
      <c r="H35" s="6">
        <v>48.8</v>
      </c>
      <c r="I35" s="6">
        <v>31.5</v>
      </c>
      <c r="J35" s="4">
        <v>1.8</v>
      </c>
      <c r="K35" s="4">
        <v>8.6</v>
      </c>
      <c r="L35" s="4">
        <v>8.3000000000000007</v>
      </c>
      <c r="M35" s="4" t="s">
        <v>237</v>
      </c>
      <c r="N35" s="4" t="s">
        <v>238</v>
      </c>
      <c r="O35" s="4">
        <v>7.4</v>
      </c>
      <c r="P35" s="4">
        <v>7.2</v>
      </c>
      <c r="Q35" s="4">
        <v>7.3</v>
      </c>
      <c r="R35" s="4">
        <v>10.08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>
        <v>2146</v>
      </c>
      <c r="AF35" s="4">
        <v>70</v>
      </c>
      <c r="AG35" s="4">
        <v>470</v>
      </c>
    </row>
    <row r="36" spans="1:37" x14ac:dyDescent="0.3">
      <c r="A36" s="4" t="s">
        <v>33</v>
      </c>
      <c r="B36" s="4">
        <v>1006</v>
      </c>
      <c r="C36" s="4" t="s">
        <v>302</v>
      </c>
      <c r="D36" s="4" t="s">
        <v>325</v>
      </c>
      <c r="E36" s="6">
        <v>40</v>
      </c>
      <c r="F36" s="6" t="s">
        <v>44</v>
      </c>
      <c r="G36" s="6" t="s">
        <v>40</v>
      </c>
      <c r="H36" s="6">
        <v>49.8</v>
      </c>
      <c r="I36" s="6">
        <v>31.6</v>
      </c>
      <c r="J36" s="4" t="s">
        <v>201</v>
      </c>
      <c r="K36" s="4">
        <v>8.1</v>
      </c>
      <c r="L36" s="4">
        <v>8.49</v>
      </c>
      <c r="M36" s="4" t="s">
        <v>201</v>
      </c>
      <c r="N36" s="4" t="s">
        <v>201</v>
      </c>
      <c r="O36" s="4">
        <v>8.8000000000000007</v>
      </c>
      <c r="P36" s="4">
        <v>8.16</v>
      </c>
      <c r="Q36" s="4" t="s">
        <v>201</v>
      </c>
      <c r="R36" s="4" t="s">
        <v>201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>
        <v>764</v>
      </c>
      <c r="AF36" s="4"/>
      <c r="AG36" s="4"/>
    </row>
    <row r="37" spans="1:37" x14ac:dyDescent="0.3">
      <c r="A37" s="4" t="s">
        <v>33</v>
      </c>
      <c r="B37" s="4">
        <v>556</v>
      </c>
      <c r="C37" s="4" t="s">
        <v>43</v>
      </c>
      <c r="D37" s="5">
        <v>44336</v>
      </c>
      <c r="E37" s="6"/>
      <c r="F37" s="6" t="s">
        <v>44</v>
      </c>
      <c r="G37" s="6" t="s">
        <v>39</v>
      </c>
      <c r="H37" s="6">
        <v>47.9</v>
      </c>
      <c r="I37" s="6">
        <v>31.7</v>
      </c>
      <c r="J37" s="4"/>
      <c r="K37" s="4">
        <v>8.52</v>
      </c>
      <c r="L37" s="4">
        <v>8.52</v>
      </c>
      <c r="M37" s="4" t="s">
        <v>151</v>
      </c>
      <c r="N37" s="4" t="s">
        <v>152</v>
      </c>
      <c r="O37" s="4" t="s">
        <v>153</v>
      </c>
      <c r="P37" s="4" t="s">
        <v>154</v>
      </c>
      <c r="Q37" s="4">
        <v>12.5</v>
      </c>
      <c r="R37" s="4">
        <v>12.5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>
        <v>1682</v>
      </c>
      <c r="AF37" s="4">
        <v>76</v>
      </c>
      <c r="AG37" s="4">
        <v>148</v>
      </c>
      <c r="AH37" s="14" t="s">
        <v>524</v>
      </c>
    </row>
    <row r="38" spans="1:37" x14ac:dyDescent="0.3">
      <c r="A38" s="4" t="s">
        <v>33</v>
      </c>
      <c r="B38" s="4">
        <v>486</v>
      </c>
      <c r="C38" s="4" t="s">
        <v>43</v>
      </c>
      <c r="D38" s="5">
        <v>44336</v>
      </c>
      <c r="E38" s="6"/>
      <c r="F38" s="6" t="s">
        <v>44</v>
      </c>
      <c r="G38" s="6" t="s">
        <v>40</v>
      </c>
      <c r="H38" s="6">
        <v>49.4</v>
      </c>
      <c r="I38" s="6">
        <v>31.8</v>
      </c>
      <c r="J38" s="4">
        <v>2.1</v>
      </c>
      <c r="K38" s="4">
        <v>7.3</v>
      </c>
      <c r="L38" s="4">
        <v>7.5</v>
      </c>
      <c r="M38" s="4">
        <v>7.1</v>
      </c>
      <c r="N38" s="4">
        <v>7.4</v>
      </c>
      <c r="O38" s="4"/>
      <c r="P38" s="4"/>
      <c r="Q38" s="4">
        <v>8.69</v>
      </c>
      <c r="R38" s="4">
        <v>7.77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>
        <v>1632</v>
      </c>
      <c r="AF38" s="4">
        <v>56</v>
      </c>
      <c r="AG38" s="4">
        <v>120</v>
      </c>
      <c r="AH38" s="14" t="s">
        <v>517</v>
      </c>
    </row>
    <row r="39" spans="1:37" x14ac:dyDescent="0.3">
      <c r="A39" s="4" t="s">
        <v>33</v>
      </c>
      <c r="B39" s="4">
        <v>1062</v>
      </c>
      <c r="C39" s="4" t="s">
        <v>302</v>
      </c>
      <c r="D39" s="8">
        <v>44835</v>
      </c>
      <c r="E39" s="6">
        <v>40</v>
      </c>
      <c r="F39" s="6" t="s">
        <v>44</v>
      </c>
      <c r="G39" s="6" t="s">
        <v>40</v>
      </c>
      <c r="H39" s="6">
        <v>43.1</v>
      </c>
      <c r="I39" s="6">
        <v>32</v>
      </c>
      <c r="J39" s="4" t="s">
        <v>201</v>
      </c>
      <c r="K39" s="4">
        <v>1.1399999999999999</v>
      </c>
      <c r="L39" s="4">
        <v>1.91</v>
      </c>
      <c r="M39" s="4" t="s">
        <v>201</v>
      </c>
      <c r="N39" s="4" t="s">
        <v>201</v>
      </c>
      <c r="O39" s="4" t="s">
        <v>201</v>
      </c>
      <c r="P39" s="4" t="s">
        <v>201</v>
      </c>
      <c r="Q39" s="4" t="s">
        <v>201</v>
      </c>
      <c r="R39" s="4" t="s">
        <v>201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>
        <v>432</v>
      </c>
      <c r="AF39" s="4">
        <v>20</v>
      </c>
      <c r="AG39" s="4">
        <v>2</v>
      </c>
    </row>
    <row r="40" spans="1:37" x14ac:dyDescent="0.3">
      <c r="A40" s="4" t="s">
        <v>33</v>
      </c>
      <c r="B40" s="4">
        <v>461</v>
      </c>
      <c r="C40" s="4" t="s">
        <v>43</v>
      </c>
      <c r="D40" s="5">
        <v>44336</v>
      </c>
      <c r="E40" s="6"/>
      <c r="F40" s="6" t="s">
        <v>44</v>
      </c>
      <c r="G40" s="6" t="s">
        <v>40</v>
      </c>
      <c r="H40" s="6">
        <v>47.2</v>
      </c>
      <c r="I40" s="6">
        <v>32</v>
      </c>
      <c r="J40" s="4">
        <v>1.9</v>
      </c>
      <c r="K40" s="4">
        <v>8.1999999999999993</v>
      </c>
      <c r="L40" s="4">
        <v>8.3000000000000007</v>
      </c>
      <c r="M40" s="4">
        <v>6.9</v>
      </c>
      <c r="N40" s="4">
        <v>6.9</v>
      </c>
      <c r="O40" s="4"/>
      <c r="P40" s="4"/>
      <c r="Q40" s="4">
        <v>4.9000000000000004</v>
      </c>
      <c r="R40" s="4">
        <v>4.9000000000000004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>
        <v>1582</v>
      </c>
      <c r="AF40" s="4">
        <v>58</v>
      </c>
      <c r="AG40" s="4">
        <v>100</v>
      </c>
    </row>
    <row r="41" spans="1:37" x14ac:dyDescent="0.3">
      <c r="A41" s="4" t="s">
        <v>33</v>
      </c>
      <c r="B41" s="4">
        <v>595</v>
      </c>
      <c r="C41" s="4" t="s">
        <v>43</v>
      </c>
      <c r="D41" s="5">
        <v>44361</v>
      </c>
      <c r="E41" s="6"/>
      <c r="F41" s="6" t="s">
        <v>44</v>
      </c>
      <c r="G41" s="6" t="s">
        <v>40</v>
      </c>
      <c r="H41" s="6">
        <v>47.9</v>
      </c>
      <c r="I41" s="6">
        <v>32.1</v>
      </c>
      <c r="J41" s="4">
        <v>1.86</v>
      </c>
      <c r="K41" s="4">
        <v>8</v>
      </c>
      <c r="L41" s="4">
        <v>7.84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>
        <v>1322</v>
      </c>
      <c r="AF41" s="4"/>
      <c r="AG41" s="4"/>
      <c r="AH41" s="14" t="s">
        <v>562</v>
      </c>
    </row>
    <row r="42" spans="1:37" x14ac:dyDescent="0.3">
      <c r="A42" s="4" t="s">
        <v>33</v>
      </c>
      <c r="B42" s="4">
        <v>509</v>
      </c>
      <c r="C42" s="4" t="s">
        <v>43</v>
      </c>
      <c r="D42" s="5">
        <v>44336</v>
      </c>
      <c r="E42" s="6"/>
      <c r="F42" s="6" t="s">
        <v>44</v>
      </c>
      <c r="G42" s="6" t="s">
        <v>40</v>
      </c>
      <c r="H42" s="6">
        <v>49.1</v>
      </c>
      <c r="I42" s="6">
        <v>32.1</v>
      </c>
      <c r="J42" s="4">
        <v>2.12</v>
      </c>
      <c r="K42" s="4"/>
      <c r="L42" s="4">
        <v>8.9</v>
      </c>
      <c r="M42" s="4" t="s">
        <v>89</v>
      </c>
      <c r="N42" s="4" t="s">
        <v>90</v>
      </c>
      <c r="O42" s="4">
        <v>8.2100000000000009</v>
      </c>
      <c r="P42" s="4">
        <v>8.5</v>
      </c>
      <c r="Q42" s="4">
        <v>9.56</v>
      </c>
      <c r="R42" s="4">
        <v>11.12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>
        <v>1792</v>
      </c>
      <c r="AF42" s="4">
        <v>94</v>
      </c>
      <c r="AG42" s="4">
        <v>138</v>
      </c>
    </row>
    <row r="43" spans="1:37" x14ac:dyDescent="0.3">
      <c r="A43" s="4" t="s">
        <v>33</v>
      </c>
      <c r="B43" s="4">
        <v>513</v>
      </c>
      <c r="C43" s="4" t="s">
        <v>43</v>
      </c>
      <c r="D43" s="5">
        <v>44336</v>
      </c>
      <c r="E43" s="6"/>
      <c r="F43" s="6" t="s">
        <v>44</v>
      </c>
      <c r="G43" s="6" t="s">
        <v>40</v>
      </c>
      <c r="H43" s="6">
        <v>45.6</v>
      </c>
      <c r="I43" s="6">
        <v>32.5</v>
      </c>
      <c r="J43" s="4">
        <v>1.8</v>
      </c>
      <c r="K43" s="7">
        <v>7.85</v>
      </c>
      <c r="L43" s="7">
        <v>7.46</v>
      </c>
      <c r="M43" s="4" t="s">
        <v>94</v>
      </c>
      <c r="N43" s="4" t="s">
        <v>95</v>
      </c>
      <c r="O43" s="4" t="s">
        <v>96</v>
      </c>
      <c r="P43" s="4" t="s">
        <v>97</v>
      </c>
      <c r="Q43" s="4" t="s">
        <v>98</v>
      </c>
      <c r="R43" s="4" t="s">
        <v>98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>
        <v>1700</v>
      </c>
      <c r="AF43" s="4">
        <v>74</v>
      </c>
      <c r="AG43" s="4">
        <v>112</v>
      </c>
    </row>
    <row r="44" spans="1:37" x14ac:dyDescent="0.3">
      <c r="A44" s="4" t="s">
        <v>33</v>
      </c>
      <c r="B44" s="4">
        <v>1003</v>
      </c>
      <c r="C44" s="4" t="s">
        <v>302</v>
      </c>
      <c r="D44" s="4" t="s">
        <v>325</v>
      </c>
      <c r="E44" s="6">
        <v>40</v>
      </c>
      <c r="F44" s="6" t="s">
        <v>44</v>
      </c>
      <c r="G44" s="6" t="s">
        <v>40</v>
      </c>
      <c r="H44" s="6">
        <v>48.7</v>
      </c>
      <c r="I44" s="6">
        <v>32.6</v>
      </c>
      <c r="J44" s="4" t="s">
        <v>201</v>
      </c>
      <c r="K44" s="4">
        <v>2.12</v>
      </c>
      <c r="L44" s="4">
        <v>2.11</v>
      </c>
      <c r="M44" s="4" t="s">
        <v>369</v>
      </c>
      <c r="N44" s="4" t="s">
        <v>370</v>
      </c>
      <c r="O44" s="4" t="s">
        <v>201</v>
      </c>
      <c r="P44" s="4" t="s">
        <v>201</v>
      </c>
      <c r="Q44" s="4" t="s">
        <v>201</v>
      </c>
      <c r="R44" s="4" t="s">
        <v>201</v>
      </c>
      <c r="S44" s="4" t="s">
        <v>201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>
        <v>468</v>
      </c>
      <c r="AF44" s="4">
        <v>22</v>
      </c>
      <c r="AG44" s="4">
        <v>0.6</v>
      </c>
    </row>
    <row r="45" spans="1:37" x14ac:dyDescent="0.3">
      <c r="A45" s="4" t="s">
        <v>33</v>
      </c>
      <c r="B45" s="4">
        <v>1004</v>
      </c>
      <c r="C45" s="4" t="s">
        <v>302</v>
      </c>
      <c r="D45" s="4" t="s">
        <v>325</v>
      </c>
      <c r="E45" s="6">
        <v>40</v>
      </c>
      <c r="F45" s="6" t="s">
        <v>44</v>
      </c>
      <c r="G45" s="6" t="s">
        <v>40</v>
      </c>
      <c r="H45" s="6">
        <v>49.9</v>
      </c>
      <c r="I45" s="6">
        <v>32.6</v>
      </c>
      <c r="J45" s="4" t="s">
        <v>201</v>
      </c>
      <c r="K45" s="4">
        <v>1.21</v>
      </c>
      <c r="L45" s="4">
        <v>1.34</v>
      </c>
      <c r="M45" s="4" t="s">
        <v>371</v>
      </c>
      <c r="N45" s="4" t="s">
        <v>372</v>
      </c>
      <c r="O45" s="4" t="s">
        <v>201</v>
      </c>
      <c r="P45" s="4" t="s">
        <v>201</v>
      </c>
      <c r="Q45" s="4" t="s">
        <v>201</v>
      </c>
      <c r="R45" s="4" t="s">
        <v>201</v>
      </c>
      <c r="S45" s="4" t="s">
        <v>201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>
        <v>462</v>
      </c>
      <c r="AF45" s="4">
        <v>24</v>
      </c>
      <c r="AG45" s="4">
        <v>2</v>
      </c>
    </row>
    <row r="46" spans="1:37" x14ac:dyDescent="0.3">
      <c r="A46" s="4" t="s">
        <v>33</v>
      </c>
      <c r="B46" s="4">
        <v>465</v>
      </c>
      <c r="C46" s="4" t="s">
        <v>43</v>
      </c>
      <c r="D46" s="5">
        <v>44336</v>
      </c>
      <c r="E46" s="6"/>
      <c r="F46" s="6" t="s">
        <v>44</v>
      </c>
      <c r="G46" s="6" t="s">
        <v>40</v>
      </c>
      <c r="H46" s="6">
        <v>51.1</v>
      </c>
      <c r="I46" s="6">
        <v>32.6</v>
      </c>
      <c r="J46" s="4">
        <v>1.5</v>
      </c>
      <c r="K46" s="4">
        <v>5.96</v>
      </c>
      <c r="L46" s="4">
        <v>6.7</v>
      </c>
      <c r="M46" s="4">
        <v>4.01</v>
      </c>
      <c r="N46" s="4">
        <v>3.72</v>
      </c>
      <c r="O46" s="4">
        <v>5.03</v>
      </c>
      <c r="P46" s="4">
        <v>5.26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>
        <v>1344</v>
      </c>
      <c r="AF46" s="4">
        <v>84</v>
      </c>
      <c r="AG46" s="4">
        <v>22</v>
      </c>
      <c r="AH46" s="14" t="s">
        <v>517</v>
      </c>
    </row>
    <row r="47" spans="1:37" x14ac:dyDescent="0.3">
      <c r="A47" s="4" t="s">
        <v>33</v>
      </c>
      <c r="B47" s="4">
        <v>464</v>
      </c>
      <c r="C47" s="4" t="s">
        <v>43</v>
      </c>
      <c r="D47" s="5">
        <v>44336</v>
      </c>
      <c r="E47" s="6"/>
      <c r="F47" s="6" t="s">
        <v>44</v>
      </c>
      <c r="G47" s="6" t="s">
        <v>40</v>
      </c>
      <c r="H47" s="6">
        <v>49.2</v>
      </c>
      <c r="I47" s="6">
        <v>33.299999999999997</v>
      </c>
      <c r="J47" s="4"/>
      <c r="K47" s="4">
        <v>1.6</v>
      </c>
      <c r="L47" s="4">
        <v>1.8</v>
      </c>
      <c r="M47" s="4">
        <v>1.2</v>
      </c>
      <c r="N47" s="4">
        <v>1.2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>
        <v>564</v>
      </c>
      <c r="AF47" s="4">
        <v>28</v>
      </c>
      <c r="AG47" s="4">
        <v>2</v>
      </c>
    </row>
    <row r="48" spans="1:37" x14ac:dyDescent="0.3">
      <c r="A48" s="4" t="s">
        <v>33</v>
      </c>
      <c r="B48" s="4">
        <v>504</v>
      </c>
      <c r="C48" s="4" t="s">
        <v>43</v>
      </c>
      <c r="D48" s="5">
        <v>44336</v>
      </c>
      <c r="E48" s="6"/>
      <c r="F48" s="6" t="s">
        <v>44</v>
      </c>
      <c r="G48" s="6" t="s">
        <v>40</v>
      </c>
      <c r="H48" s="6">
        <v>52.9</v>
      </c>
      <c r="I48" s="6">
        <v>33.4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>
        <v>342</v>
      </c>
      <c r="AF48" s="4">
        <v>16</v>
      </c>
      <c r="AG48" s="4">
        <v>2</v>
      </c>
      <c r="AH48" s="14" t="s">
        <v>556</v>
      </c>
    </row>
    <row r="49" spans="1:34" x14ac:dyDescent="0.3">
      <c r="A49" s="4" t="s">
        <v>33</v>
      </c>
      <c r="B49" s="4">
        <v>1064</v>
      </c>
      <c r="C49" s="4" t="s">
        <v>302</v>
      </c>
      <c r="D49" s="8">
        <v>44835</v>
      </c>
      <c r="E49" s="6">
        <v>40</v>
      </c>
      <c r="F49" s="6" t="s">
        <v>44</v>
      </c>
      <c r="G49" s="6" t="s">
        <v>40</v>
      </c>
      <c r="H49" s="6">
        <v>51</v>
      </c>
      <c r="I49" s="6">
        <v>33.5</v>
      </c>
      <c r="J49" s="4">
        <v>1.82</v>
      </c>
      <c r="K49" s="4">
        <v>7.49</v>
      </c>
      <c r="L49" s="4">
        <v>7.77</v>
      </c>
      <c r="M49" s="4" t="s">
        <v>414</v>
      </c>
      <c r="N49" s="4" t="s">
        <v>415</v>
      </c>
      <c r="O49" s="4">
        <v>6.5</v>
      </c>
      <c r="P49" s="4">
        <v>6.9</v>
      </c>
      <c r="Q49" s="4" t="s">
        <v>201</v>
      </c>
      <c r="R49" s="4" t="s">
        <v>201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>
        <v>1388</v>
      </c>
      <c r="AF49" s="4">
        <v>58</v>
      </c>
      <c r="AG49" s="4">
        <v>52</v>
      </c>
    </row>
    <row r="50" spans="1:34" x14ac:dyDescent="0.3">
      <c r="A50" s="4" t="s">
        <v>33</v>
      </c>
      <c r="B50" s="4">
        <v>248</v>
      </c>
      <c r="C50" s="4" t="s">
        <v>43</v>
      </c>
      <c r="D50" s="5" t="s">
        <v>42</v>
      </c>
      <c r="E50" s="6">
        <v>15</v>
      </c>
      <c r="F50" s="6" t="s">
        <v>44</v>
      </c>
      <c r="G50" s="6" t="s">
        <v>40</v>
      </c>
      <c r="H50" s="6">
        <v>52</v>
      </c>
      <c r="I50" s="6">
        <v>33.5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>
        <v>598</v>
      </c>
      <c r="AF50" s="4">
        <v>30</v>
      </c>
      <c r="AG50" s="4">
        <v>0</v>
      </c>
      <c r="AH50" s="14" t="s">
        <v>516</v>
      </c>
    </row>
    <row r="51" spans="1:34" x14ac:dyDescent="0.3">
      <c r="A51" s="4" t="s">
        <v>33</v>
      </c>
      <c r="B51" s="4">
        <v>360</v>
      </c>
      <c r="C51" s="4" t="s">
        <v>46</v>
      </c>
      <c r="D51" s="5">
        <v>44256</v>
      </c>
      <c r="E51" s="6">
        <v>21.9</v>
      </c>
      <c r="F51" s="6" t="s">
        <v>44</v>
      </c>
      <c r="G51" s="6" t="s">
        <v>40</v>
      </c>
      <c r="H51" s="6">
        <v>53.1</v>
      </c>
      <c r="I51" s="6">
        <v>33.6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>
        <v>1500</v>
      </c>
      <c r="AF51" s="4">
        <v>62</v>
      </c>
      <c r="AG51" s="4">
        <v>58</v>
      </c>
    </row>
    <row r="52" spans="1:34" x14ac:dyDescent="0.3">
      <c r="A52" s="4" t="s">
        <v>33</v>
      </c>
      <c r="B52" s="4">
        <v>463</v>
      </c>
      <c r="C52" s="4" t="s">
        <v>43</v>
      </c>
      <c r="D52" s="5">
        <v>44336</v>
      </c>
      <c r="E52" s="6"/>
      <c r="F52" s="6" t="s">
        <v>44</v>
      </c>
      <c r="G52" s="6" t="s">
        <v>40</v>
      </c>
      <c r="H52" s="6">
        <v>52.2</v>
      </c>
      <c r="I52" s="6">
        <v>33.700000000000003</v>
      </c>
      <c r="J52" s="4"/>
      <c r="K52" s="4">
        <v>3.1</v>
      </c>
      <c r="L52" s="4">
        <v>3.1</v>
      </c>
      <c r="M52" s="4">
        <v>1.1000000000000001</v>
      </c>
      <c r="N52" s="4">
        <v>1.1000000000000001</v>
      </c>
      <c r="O52" s="4"/>
      <c r="P52" s="4"/>
      <c r="Q52" s="4">
        <v>5.2</v>
      </c>
      <c r="R52" s="4">
        <v>5.2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>
        <v>536</v>
      </c>
      <c r="AF52" s="4">
        <v>32</v>
      </c>
      <c r="AG52" s="4"/>
    </row>
    <row r="53" spans="1:34" x14ac:dyDescent="0.3">
      <c r="A53" s="4" t="s">
        <v>33</v>
      </c>
      <c r="B53" s="4">
        <v>1100</v>
      </c>
      <c r="C53" s="4" t="s">
        <v>302</v>
      </c>
      <c r="D53" s="11" t="s">
        <v>447</v>
      </c>
      <c r="E53" s="6">
        <v>12</v>
      </c>
      <c r="F53" s="6" t="s">
        <v>44</v>
      </c>
      <c r="G53" s="6" t="s">
        <v>40</v>
      </c>
      <c r="H53" s="6">
        <v>49.4</v>
      </c>
      <c r="I53" s="6">
        <v>33.9</v>
      </c>
      <c r="J53" s="4">
        <v>2</v>
      </c>
      <c r="K53" s="4">
        <v>9.6999999999999993</v>
      </c>
      <c r="L53" s="4"/>
      <c r="M53" s="4" t="s">
        <v>454</v>
      </c>
      <c r="N53" s="4"/>
      <c r="O53" s="4">
        <v>9</v>
      </c>
      <c r="P53" s="4"/>
      <c r="Q53" s="4">
        <v>12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>
        <v>1026</v>
      </c>
      <c r="AF53" s="4">
        <v>48</v>
      </c>
      <c r="AG53" s="4">
        <v>62</v>
      </c>
    </row>
    <row r="54" spans="1:34" x14ac:dyDescent="0.3">
      <c r="A54" s="4" t="s">
        <v>33</v>
      </c>
      <c r="B54" s="4">
        <v>1054</v>
      </c>
      <c r="C54" s="4" t="s">
        <v>302</v>
      </c>
      <c r="D54" s="8">
        <v>44835</v>
      </c>
      <c r="E54" s="6">
        <v>40</v>
      </c>
      <c r="F54" s="6" t="s">
        <v>44</v>
      </c>
      <c r="G54" s="6" t="s">
        <v>40</v>
      </c>
      <c r="H54" s="6">
        <v>51.5</v>
      </c>
      <c r="I54" s="6">
        <v>34</v>
      </c>
      <c r="J54" s="4">
        <v>0.79</v>
      </c>
      <c r="K54" s="4">
        <v>3.51</v>
      </c>
      <c r="L54" s="4">
        <v>3.28</v>
      </c>
      <c r="M54" s="4" t="s">
        <v>201</v>
      </c>
      <c r="N54" s="4" t="s">
        <v>201</v>
      </c>
      <c r="O54" s="4" t="s">
        <v>201</v>
      </c>
      <c r="P54" s="4" t="s">
        <v>201</v>
      </c>
      <c r="Q54" s="4" t="s">
        <v>201</v>
      </c>
      <c r="R54" s="4" t="s">
        <v>201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>
        <v>946</v>
      </c>
      <c r="AF54" s="4">
        <v>58</v>
      </c>
      <c r="AG54" s="4">
        <v>2</v>
      </c>
    </row>
    <row r="55" spans="1:34" x14ac:dyDescent="0.3">
      <c r="A55" s="4" t="s">
        <v>33</v>
      </c>
      <c r="B55" s="4">
        <v>359</v>
      </c>
      <c r="C55" s="4" t="s">
        <v>46</v>
      </c>
      <c r="D55" s="5">
        <v>44256</v>
      </c>
      <c r="E55" s="6">
        <v>21.9</v>
      </c>
      <c r="F55" s="6" t="s">
        <v>44</v>
      </c>
      <c r="G55" s="6" t="s">
        <v>40</v>
      </c>
      <c r="H55" s="6">
        <v>51.9</v>
      </c>
      <c r="I55" s="6">
        <v>34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566</v>
      </c>
      <c r="AF55" s="4">
        <v>32</v>
      </c>
      <c r="AG55" s="4">
        <v>2</v>
      </c>
    </row>
    <row r="56" spans="1:34" x14ac:dyDescent="0.3">
      <c r="A56" s="4" t="s">
        <v>33</v>
      </c>
      <c r="B56" s="4">
        <v>468</v>
      </c>
      <c r="C56" s="4" t="s">
        <v>43</v>
      </c>
      <c r="D56" s="5">
        <v>44336</v>
      </c>
      <c r="E56" s="6"/>
      <c r="F56" s="6" t="s">
        <v>44</v>
      </c>
      <c r="G56" s="6" t="s">
        <v>40</v>
      </c>
      <c r="H56" s="6">
        <v>53.3</v>
      </c>
      <c r="I56" s="6">
        <v>34.200000000000003</v>
      </c>
      <c r="J56" s="4">
        <v>1.6</v>
      </c>
      <c r="K56" s="4">
        <v>7.2</v>
      </c>
      <c r="L56" s="4">
        <v>7.1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>
        <v>1564</v>
      </c>
      <c r="AF56" s="4">
        <v>82</v>
      </c>
      <c r="AG56" s="4"/>
    </row>
    <row r="57" spans="1:34" x14ac:dyDescent="0.3">
      <c r="A57" s="4" t="s">
        <v>33</v>
      </c>
      <c r="B57" s="4">
        <v>207</v>
      </c>
      <c r="C57" s="4" t="s">
        <v>43</v>
      </c>
      <c r="D57" s="5" t="s">
        <v>42</v>
      </c>
      <c r="E57" s="6">
        <v>15</v>
      </c>
      <c r="F57" s="6" t="s">
        <v>44</v>
      </c>
      <c r="G57" s="6" t="s">
        <v>40</v>
      </c>
      <c r="H57" s="6">
        <v>47</v>
      </c>
      <c r="I57" s="6">
        <v>34.299999999999997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>
        <v>736</v>
      </c>
      <c r="AF57" s="4">
        <v>40</v>
      </c>
      <c r="AG57" s="4"/>
      <c r="AH57" s="14" t="s">
        <v>519</v>
      </c>
    </row>
    <row r="58" spans="1:34" x14ac:dyDescent="0.3">
      <c r="A58" s="4" t="s">
        <v>33</v>
      </c>
      <c r="B58" s="4">
        <v>476</v>
      </c>
      <c r="C58" s="4" t="s">
        <v>43</v>
      </c>
      <c r="D58" s="5">
        <v>44336</v>
      </c>
      <c r="E58" s="6"/>
      <c r="F58" s="6" t="s">
        <v>44</v>
      </c>
      <c r="G58" s="6" t="s">
        <v>40</v>
      </c>
      <c r="H58" s="6">
        <v>49.4</v>
      </c>
      <c r="I58" s="6">
        <v>34.299999999999997</v>
      </c>
      <c r="J58" s="4">
        <v>2.04</v>
      </c>
      <c r="K58" s="4">
        <v>7.4</v>
      </c>
      <c r="L58" s="4">
        <v>7.3</v>
      </c>
      <c r="M58" s="4">
        <v>6.94</v>
      </c>
      <c r="N58" s="4">
        <v>6.94</v>
      </c>
      <c r="O58" s="4"/>
      <c r="P58" s="4"/>
      <c r="Q58" s="4">
        <v>9.11</v>
      </c>
      <c r="R58" s="4">
        <v>9.11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>
        <v>1736</v>
      </c>
      <c r="AF58" s="4">
        <v>92</v>
      </c>
      <c r="AG58" s="4">
        <v>110</v>
      </c>
      <c r="AH58" s="14" t="s">
        <v>524</v>
      </c>
    </row>
    <row r="59" spans="1:34" x14ac:dyDescent="0.3">
      <c r="A59" s="4" t="s">
        <v>33</v>
      </c>
      <c r="B59" s="4">
        <v>590</v>
      </c>
      <c r="C59" s="4" t="s">
        <v>43</v>
      </c>
      <c r="D59" s="5">
        <v>44361</v>
      </c>
      <c r="E59" s="6"/>
      <c r="F59" s="6" t="s">
        <v>44</v>
      </c>
      <c r="G59" s="6" t="s">
        <v>40</v>
      </c>
      <c r="H59" s="6">
        <v>52.5</v>
      </c>
      <c r="I59" s="6">
        <v>34.5</v>
      </c>
      <c r="J59" s="4">
        <v>2.0299999999999998</v>
      </c>
      <c r="K59" s="4">
        <v>7.11</v>
      </c>
      <c r="L59" s="4">
        <v>7.11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>
        <v>1080</v>
      </c>
      <c r="AF59" s="4"/>
      <c r="AG59" s="4">
        <v>6</v>
      </c>
      <c r="AH59" s="14" t="s">
        <v>563</v>
      </c>
    </row>
    <row r="60" spans="1:34" x14ac:dyDescent="0.3">
      <c r="A60" s="4" t="s">
        <v>33</v>
      </c>
      <c r="B60" s="4">
        <v>530</v>
      </c>
      <c r="C60" s="4" t="s">
        <v>43</v>
      </c>
      <c r="D60" s="5">
        <v>44336</v>
      </c>
      <c r="E60" s="6"/>
      <c r="F60" s="6" t="s">
        <v>44</v>
      </c>
      <c r="G60" s="6" t="s">
        <v>40</v>
      </c>
      <c r="H60" s="6">
        <v>51.1</v>
      </c>
      <c r="I60" s="6">
        <v>34.9</v>
      </c>
      <c r="J60" s="4"/>
      <c r="K60" s="4">
        <v>1.39</v>
      </c>
      <c r="L60" s="4">
        <v>1.22</v>
      </c>
      <c r="M60" s="4" t="s">
        <v>119</v>
      </c>
      <c r="N60" s="4" t="s">
        <v>119</v>
      </c>
      <c r="O60" s="4"/>
      <c r="P60" s="4"/>
      <c r="Q60" s="4">
        <v>1.64</v>
      </c>
      <c r="R60" s="4">
        <v>2.15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444</v>
      </c>
      <c r="AF60" s="4">
        <v>22</v>
      </c>
      <c r="AG60" s="4">
        <v>2</v>
      </c>
    </row>
    <row r="61" spans="1:34" x14ac:dyDescent="0.3">
      <c r="A61" s="4" t="s">
        <v>33</v>
      </c>
      <c r="B61" s="4">
        <v>1052</v>
      </c>
      <c r="C61" s="4" t="s">
        <v>302</v>
      </c>
      <c r="D61" s="8">
        <v>44835</v>
      </c>
      <c r="E61" s="6">
        <v>40</v>
      </c>
      <c r="F61" s="6" t="s">
        <v>44</v>
      </c>
      <c r="G61" s="6" t="s">
        <v>39</v>
      </c>
      <c r="H61" s="6">
        <v>52.5</v>
      </c>
      <c r="I61" s="6">
        <v>35</v>
      </c>
      <c r="J61" s="4">
        <v>1.5</v>
      </c>
      <c r="K61" s="4">
        <v>9.3000000000000007</v>
      </c>
      <c r="L61" s="4">
        <v>8.6999999999999993</v>
      </c>
      <c r="M61" s="4" t="s">
        <v>201</v>
      </c>
      <c r="N61" s="4" t="s">
        <v>201</v>
      </c>
      <c r="O61" s="4" t="s">
        <v>201</v>
      </c>
      <c r="P61" s="4" t="s">
        <v>201</v>
      </c>
      <c r="Q61" s="4" t="s">
        <v>201</v>
      </c>
      <c r="R61" s="4" t="s">
        <v>201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>
        <v>1732</v>
      </c>
      <c r="AF61" s="4">
        <v>56</v>
      </c>
      <c r="AG61" s="4">
        <v>76</v>
      </c>
    </row>
    <row r="62" spans="1:34" x14ac:dyDescent="0.3">
      <c r="A62" s="4" t="s">
        <v>33</v>
      </c>
      <c r="B62" s="4">
        <v>621</v>
      </c>
      <c r="C62" s="4" t="s">
        <v>43</v>
      </c>
      <c r="D62" s="5">
        <v>44403</v>
      </c>
      <c r="E62" s="6">
        <v>40</v>
      </c>
      <c r="F62" s="6" t="s">
        <v>44</v>
      </c>
      <c r="G62" s="6" t="s">
        <v>40</v>
      </c>
      <c r="H62" s="6">
        <v>49.8</v>
      </c>
      <c r="I62" s="6">
        <v>35.1</v>
      </c>
      <c r="J62" s="4"/>
      <c r="K62" s="4">
        <v>8.1</v>
      </c>
      <c r="L62" s="4">
        <v>8.1</v>
      </c>
      <c r="M62" s="4" t="s">
        <v>195</v>
      </c>
      <c r="N62" s="4" t="s">
        <v>196</v>
      </c>
      <c r="O62" s="4" t="s">
        <v>197</v>
      </c>
      <c r="P62" s="4" t="s">
        <v>198</v>
      </c>
      <c r="Q62" s="4" t="s">
        <v>199</v>
      </c>
      <c r="R62" s="4" t="s">
        <v>200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>
        <v>1576</v>
      </c>
      <c r="AF62" s="4">
        <v>80</v>
      </c>
      <c r="AG62" s="4">
        <v>124</v>
      </c>
    </row>
    <row r="63" spans="1:34" x14ac:dyDescent="0.3">
      <c r="A63" s="4" t="s">
        <v>33</v>
      </c>
      <c r="B63" s="4">
        <v>245</v>
      </c>
      <c r="C63" s="4" t="s">
        <v>43</v>
      </c>
      <c r="D63" s="5" t="s">
        <v>42</v>
      </c>
      <c r="E63" s="6">
        <v>15</v>
      </c>
      <c r="F63" s="6" t="s">
        <v>44</v>
      </c>
      <c r="G63" s="6" t="s">
        <v>40</v>
      </c>
      <c r="H63" s="6">
        <v>57.3</v>
      </c>
      <c r="I63" s="6">
        <v>35.200000000000003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>
        <v>840</v>
      </c>
      <c r="AF63" s="4">
        <v>48</v>
      </c>
      <c r="AG63" s="4"/>
      <c r="AH63" t="s">
        <v>516</v>
      </c>
    </row>
    <row r="64" spans="1:34" x14ac:dyDescent="0.3">
      <c r="A64" s="4" t="s">
        <v>33</v>
      </c>
      <c r="B64" s="4">
        <v>460</v>
      </c>
      <c r="C64" s="4" t="s">
        <v>43</v>
      </c>
      <c r="D64" s="5">
        <v>44336</v>
      </c>
      <c r="E64" s="6"/>
      <c r="F64" s="6" t="s">
        <v>44</v>
      </c>
      <c r="G64" s="6" t="s">
        <v>40</v>
      </c>
      <c r="H64" s="6">
        <v>56.9</v>
      </c>
      <c r="I64" s="6">
        <v>36.1</v>
      </c>
      <c r="J64" s="4"/>
      <c r="K64" s="4">
        <v>3.1</v>
      </c>
      <c r="L64" s="4">
        <v>3.1</v>
      </c>
      <c r="M64" s="4">
        <v>1</v>
      </c>
      <c r="N64" s="4">
        <v>1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>
        <v>448</v>
      </c>
      <c r="AF64" s="4">
        <v>24</v>
      </c>
      <c r="AG64" s="4"/>
    </row>
    <row r="65" spans="1:34" x14ac:dyDescent="0.3">
      <c r="A65" s="4" t="s">
        <v>33</v>
      </c>
      <c r="B65" s="4">
        <v>458</v>
      </c>
      <c r="C65" s="4" t="s">
        <v>43</v>
      </c>
      <c r="D65" s="5">
        <v>44336</v>
      </c>
      <c r="E65" s="6"/>
      <c r="F65" s="6" t="s">
        <v>44</v>
      </c>
      <c r="G65" s="6" t="s">
        <v>40</v>
      </c>
      <c r="H65" s="6">
        <v>55.2</v>
      </c>
      <c r="I65" s="6">
        <v>36.5</v>
      </c>
      <c r="J65" s="4"/>
      <c r="K65" s="4">
        <v>2</v>
      </c>
      <c r="L65" s="4">
        <v>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>
        <v>380</v>
      </c>
      <c r="AF65" s="4">
        <v>20</v>
      </c>
      <c r="AG65" s="4"/>
      <c r="AH65" s="14" t="s">
        <v>549</v>
      </c>
    </row>
    <row r="66" spans="1:34" x14ac:dyDescent="0.3">
      <c r="A66" s="4" t="s">
        <v>33</v>
      </c>
      <c r="B66" s="4">
        <v>518</v>
      </c>
      <c r="C66" s="4" t="s">
        <v>43</v>
      </c>
      <c r="D66" s="5">
        <v>44336</v>
      </c>
      <c r="E66" s="6"/>
      <c r="F66" s="6" t="s">
        <v>44</v>
      </c>
      <c r="G66" s="6" t="s">
        <v>40</v>
      </c>
      <c r="H66" s="6">
        <v>51.9</v>
      </c>
      <c r="I66" s="6">
        <v>36.799999999999997</v>
      </c>
      <c r="J66" s="4"/>
      <c r="K66" s="4">
        <v>9.39</v>
      </c>
      <c r="L66" s="4">
        <v>8.4700000000000006</v>
      </c>
      <c r="M66" s="4" t="s">
        <v>112</v>
      </c>
      <c r="N66" s="4" t="s">
        <v>113</v>
      </c>
      <c r="O66" s="4">
        <v>10.53</v>
      </c>
      <c r="P66" s="4">
        <v>8.73</v>
      </c>
      <c r="Q66" s="4">
        <v>10.92</v>
      </c>
      <c r="R66" s="4">
        <v>11.51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>
        <v>2436</v>
      </c>
      <c r="AF66" s="4">
        <v>90</v>
      </c>
      <c r="AG66" s="4">
        <v>162</v>
      </c>
    </row>
    <row r="67" spans="1:34" x14ac:dyDescent="0.3">
      <c r="A67" s="4" t="s">
        <v>33</v>
      </c>
      <c r="B67" s="4">
        <v>196</v>
      </c>
      <c r="C67" s="4" t="s">
        <v>41</v>
      </c>
      <c r="D67" s="5" t="s">
        <v>42</v>
      </c>
      <c r="E67" s="6">
        <v>15</v>
      </c>
      <c r="F67" s="6" t="s">
        <v>44</v>
      </c>
      <c r="G67" s="6" t="s">
        <v>40</v>
      </c>
      <c r="H67" s="6">
        <v>57.2</v>
      </c>
      <c r="I67" s="6">
        <v>36.799999999999997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>
        <v>778</v>
      </c>
      <c r="AF67" s="4">
        <v>42</v>
      </c>
      <c r="AG67" s="4">
        <v>2</v>
      </c>
    </row>
    <row r="68" spans="1:34" x14ac:dyDescent="0.3">
      <c r="A68" s="4" t="s">
        <v>33</v>
      </c>
      <c r="B68" s="4">
        <v>852</v>
      </c>
      <c r="C68" s="4" t="s">
        <v>303</v>
      </c>
      <c r="D68" s="5">
        <v>44480</v>
      </c>
      <c r="E68" s="6">
        <v>40</v>
      </c>
      <c r="F68" s="6" t="s">
        <v>44</v>
      </c>
      <c r="G68" s="6" t="s">
        <v>40</v>
      </c>
      <c r="H68" s="6">
        <v>58</v>
      </c>
      <c r="I68" s="6">
        <v>36.799999999999997</v>
      </c>
      <c r="J68" s="4" t="s">
        <v>201</v>
      </c>
      <c r="K68" s="4">
        <v>8.2100000000000009</v>
      </c>
      <c r="L68" s="4">
        <v>8.6199999999999992</v>
      </c>
      <c r="M68" s="4" t="s">
        <v>314</v>
      </c>
      <c r="N68" s="4" t="s">
        <v>315</v>
      </c>
      <c r="O68" s="4">
        <v>9.4499999999999993</v>
      </c>
      <c r="P68" s="4">
        <v>9.1199999999999992</v>
      </c>
      <c r="Q68" s="4">
        <v>9.3000000000000007</v>
      </c>
      <c r="R68" s="4">
        <v>10.4</v>
      </c>
      <c r="S68" s="4"/>
      <c r="T68" s="4"/>
      <c r="U68" s="4"/>
      <c r="V68" s="4"/>
      <c r="W68" s="4" t="s">
        <v>201</v>
      </c>
      <c r="X68" s="4" t="s">
        <v>201</v>
      </c>
      <c r="Y68" s="4" t="s">
        <v>201</v>
      </c>
      <c r="Z68" s="4" t="s">
        <v>201</v>
      </c>
      <c r="AA68" s="4"/>
      <c r="AB68" s="4"/>
      <c r="AC68" s="4"/>
      <c r="AD68" s="4"/>
      <c r="AE68" s="4">
        <v>1942</v>
      </c>
      <c r="AF68" s="4">
        <v>102</v>
      </c>
      <c r="AG68" s="4">
        <v>118</v>
      </c>
    </row>
    <row r="69" spans="1:34" x14ac:dyDescent="0.3">
      <c r="A69" s="4" t="s">
        <v>33</v>
      </c>
      <c r="B69" s="4">
        <v>658</v>
      </c>
      <c r="C69" s="4" t="s">
        <v>43</v>
      </c>
      <c r="D69" s="5">
        <v>44438</v>
      </c>
      <c r="E69" s="6">
        <v>40</v>
      </c>
      <c r="F69" s="6" t="s">
        <v>44</v>
      </c>
      <c r="G69" s="6" t="s">
        <v>40</v>
      </c>
      <c r="H69" s="6">
        <v>53.2</v>
      </c>
      <c r="I69" s="6">
        <v>37</v>
      </c>
      <c r="J69" s="4"/>
      <c r="K69" s="4">
        <v>1.9</v>
      </c>
      <c r="L69" s="4">
        <v>1.7</v>
      </c>
      <c r="M69" s="4" t="s">
        <v>226</v>
      </c>
      <c r="N69" s="4" t="s">
        <v>227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>
        <v>378</v>
      </c>
      <c r="AF69" s="4">
        <v>18</v>
      </c>
      <c r="AG69" s="4">
        <v>2</v>
      </c>
      <c r="AH69" s="14" t="s">
        <v>577</v>
      </c>
    </row>
    <row r="70" spans="1:34" x14ac:dyDescent="0.3">
      <c r="A70" s="4" t="s">
        <v>33</v>
      </c>
      <c r="B70" s="4">
        <v>614</v>
      </c>
      <c r="C70" s="4" t="s">
        <v>43</v>
      </c>
      <c r="D70" s="5">
        <v>44403</v>
      </c>
      <c r="E70" s="6">
        <v>40</v>
      </c>
      <c r="F70" s="6" t="s">
        <v>44</v>
      </c>
      <c r="G70" s="6" t="s">
        <v>40</v>
      </c>
      <c r="H70" s="6">
        <v>53.8</v>
      </c>
      <c r="I70" s="6">
        <v>37</v>
      </c>
      <c r="J70" s="4">
        <v>1.86</v>
      </c>
      <c r="K70" s="4">
        <v>8.1</v>
      </c>
      <c r="L70" s="4">
        <v>7.43</v>
      </c>
      <c r="M70" s="4">
        <v>7.9</v>
      </c>
      <c r="N70" s="4">
        <v>8.3000000000000007</v>
      </c>
      <c r="O70" s="4">
        <v>7.16</v>
      </c>
      <c r="P70" s="4">
        <v>7.4</v>
      </c>
      <c r="Q70" s="4">
        <v>10.199999999999999</v>
      </c>
      <c r="R70" s="4">
        <v>10.85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>
        <v>2156</v>
      </c>
      <c r="AF70" s="4">
        <v>84</v>
      </c>
      <c r="AG70" s="4">
        <v>176</v>
      </c>
    </row>
    <row r="71" spans="1:34" x14ac:dyDescent="0.3">
      <c r="A71" s="4" t="s">
        <v>33</v>
      </c>
      <c r="B71" s="4">
        <v>1018</v>
      </c>
      <c r="C71" s="4" t="s">
        <v>302</v>
      </c>
      <c r="D71" s="4" t="s">
        <v>325</v>
      </c>
      <c r="E71" s="6">
        <v>40</v>
      </c>
      <c r="F71" s="6" t="s">
        <v>44</v>
      </c>
      <c r="G71" s="6" t="s">
        <v>39</v>
      </c>
      <c r="H71" s="6">
        <v>58.5</v>
      </c>
      <c r="I71" s="6">
        <v>37.200000000000003</v>
      </c>
      <c r="J71" s="4">
        <v>1.43</v>
      </c>
      <c r="K71" s="4">
        <v>7.09</v>
      </c>
      <c r="L71" s="4">
        <v>6.8</v>
      </c>
      <c r="M71" s="4" t="s">
        <v>201</v>
      </c>
      <c r="N71" s="4" t="s">
        <v>201</v>
      </c>
      <c r="O71" s="4">
        <v>4.24</v>
      </c>
      <c r="P71" s="4">
        <v>4.49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968</v>
      </c>
      <c r="AF71" s="4" t="s">
        <v>201</v>
      </c>
      <c r="AG71" s="4">
        <v>10</v>
      </c>
    </row>
    <row r="72" spans="1:34" x14ac:dyDescent="0.3">
      <c r="A72" s="4" t="s">
        <v>33</v>
      </c>
      <c r="B72" s="4">
        <v>386</v>
      </c>
      <c r="C72" s="4" t="s">
        <v>43</v>
      </c>
      <c r="D72" s="5">
        <v>44256</v>
      </c>
      <c r="E72" s="6">
        <v>21.9</v>
      </c>
      <c r="F72" s="6" t="s">
        <v>44</v>
      </c>
      <c r="G72" s="6" t="s">
        <v>40</v>
      </c>
      <c r="H72" s="6">
        <v>58.3</v>
      </c>
      <c r="I72" s="6">
        <v>37.5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>
        <v>1476</v>
      </c>
      <c r="AF72" s="4">
        <v>88</v>
      </c>
      <c r="AG72" s="4">
        <v>78</v>
      </c>
    </row>
    <row r="73" spans="1:34" x14ac:dyDescent="0.3">
      <c r="A73" s="4" t="s">
        <v>33</v>
      </c>
      <c r="B73" s="4">
        <v>998</v>
      </c>
      <c r="C73" s="4" t="s">
        <v>302</v>
      </c>
      <c r="D73" s="4" t="s">
        <v>204</v>
      </c>
      <c r="E73" s="6">
        <v>20</v>
      </c>
      <c r="F73" s="6" t="s">
        <v>44</v>
      </c>
      <c r="G73" s="6" t="s">
        <v>40</v>
      </c>
      <c r="H73" s="6">
        <v>56.6</v>
      </c>
      <c r="I73" s="6">
        <v>37.700000000000003</v>
      </c>
      <c r="J73" s="4" t="s">
        <v>201</v>
      </c>
      <c r="K73" s="4" t="s">
        <v>201</v>
      </c>
      <c r="L73" s="4" t="s">
        <v>201</v>
      </c>
      <c r="M73" s="4" t="s">
        <v>361</v>
      </c>
      <c r="N73" s="4" t="s">
        <v>362</v>
      </c>
      <c r="O73" s="4" t="s">
        <v>201</v>
      </c>
      <c r="P73" s="4" t="s">
        <v>201</v>
      </c>
      <c r="Q73" s="4" t="s">
        <v>201</v>
      </c>
      <c r="R73" s="4" t="s">
        <v>201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>
        <v>1256</v>
      </c>
      <c r="AF73" s="4">
        <v>78</v>
      </c>
      <c r="AG73" s="4">
        <v>81</v>
      </c>
    </row>
    <row r="74" spans="1:34" x14ac:dyDescent="0.3">
      <c r="A74" s="4" t="s">
        <v>33</v>
      </c>
      <c r="B74" s="4">
        <v>498</v>
      </c>
      <c r="C74" s="4" t="s">
        <v>43</v>
      </c>
      <c r="D74" s="5">
        <v>44336</v>
      </c>
      <c r="E74" s="6"/>
      <c r="F74" s="6" t="s">
        <v>44</v>
      </c>
      <c r="G74" s="6" t="s">
        <v>40</v>
      </c>
      <c r="H74" s="6">
        <v>57.5</v>
      </c>
      <c r="I74" s="6">
        <v>37.9</v>
      </c>
      <c r="J74" s="4"/>
      <c r="K74" s="4">
        <v>2.82</v>
      </c>
      <c r="L74" s="4">
        <v>2.5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>
        <v>530</v>
      </c>
      <c r="AF74" s="4">
        <v>32</v>
      </c>
      <c r="AG74" s="4">
        <v>2</v>
      </c>
      <c r="AH74" s="14" t="s">
        <v>517</v>
      </c>
    </row>
    <row r="75" spans="1:34" x14ac:dyDescent="0.3">
      <c r="A75" s="4" t="s">
        <v>33</v>
      </c>
      <c r="B75" s="4">
        <v>164</v>
      </c>
      <c r="C75" s="4" t="s">
        <v>41</v>
      </c>
      <c r="D75" s="5" t="s">
        <v>42</v>
      </c>
      <c r="E75" s="6">
        <v>15</v>
      </c>
      <c r="F75" s="6" t="s">
        <v>44</v>
      </c>
      <c r="G75" s="6" t="s">
        <v>39</v>
      </c>
      <c r="H75" s="6">
        <v>60</v>
      </c>
      <c r="I75" s="6">
        <v>38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>
        <v>1194</v>
      </c>
      <c r="AF75" s="4">
        <v>68</v>
      </c>
      <c r="AG75" s="4">
        <v>38</v>
      </c>
    </row>
    <row r="76" spans="1:34" x14ac:dyDescent="0.3">
      <c r="A76" s="4" t="s">
        <v>33</v>
      </c>
      <c r="B76" s="4">
        <v>678</v>
      </c>
      <c r="C76" s="4" t="s">
        <v>43</v>
      </c>
      <c r="D76" s="5">
        <v>44438</v>
      </c>
      <c r="E76" s="6">
        <v>40</v>
      </c>
      <c r="F76" s="6" t="s">
        <v>44</v>
      </c>
      <c r="G76" s="6" t="s">
        <v>39</v>
      </c>
      <c r="H76" s="6">
        <v>63</v>
      </c>
      <c r="I76" s="6">
        <v>38</v>
      </c>
      <c r="J76" s="4">
        <v>1.98</v>
      </c>
      <c r="K76" s="4">
        <v>6.73</v>
      </c>
      <c r="L76" s="4">
        <v>6.81</v>
      </c>
      <c r="M76" s="4">
        <v>5.91</v>
      </c>
      <c r="N76" s="4">
        <v>6.1</v>
      </c>
      <c r="O76" s="4">
        <v>7</v>
      </c>
      <c r="P76" s="4">
        <v>6.78</v>
      </c>
      <c r="Q76" s="4">
        <v>8.91</v>
      </c>
      <c r="R76" s="4">
        <v>8.9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>
        <v>1606</v>
      </c>
      <c r="AF76" s="4">
        <v>86</v>
      </c>
      <c r="AG76" s="4">
        <v>114</v>
      </c>
    </row>
    <row r="77" spans="1:34" x14ac:dyDescent="0.3">
      <c r="A77" s="4" t="s">
        <v>33</v>
      </c>
      <c r="B77" s="4">
        <v>213</v>
      </c>
      <c r="C77" s="4" t="s">
        <v>43</v>
      </c>
      <c r="D77" s="5" t="s">
        <v>42</v>
      </c>
      <c r="E77" s="6">
        <v>15</v>
      </c>
      <c r="F77" s="6" t="s">
        <v>44</v>
      </c>
      <c r="G77" s="6" t="s">
        <v>40</v>
      </c>
      <c r="H77" s="6">
        <v>65</v>
      </c>
      <c r="I77" s="6">
        <v>38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>
        <v>1194</v>
      </c>
      <c r="AF77" s="4">
        <v>74</v>
      </c>
      <c r="AG77" s="4">
        <v>30</v>
      </c>
    </row>
    <row r="78" spans="1:34" x14ac:dyDescent="0.3">
      <c r="A78" s="4" t="s">
        <v>33</v>
      </c>
      <c r="B78" s="4">
        <v>682</v>
      </c>
      <c r="C78" s="4" t="s">
        <v>43</v>
      </c>
      <c r="D78" s="5">
        <v>44438</v>
      </c>
      <c r="E78" s="6">
        <v>40</v>
      </c>
      <c r="F78" s="6" t="s">
        <v>44</v>
      </c>
      <c r="G78" s="6" t="s">
        <v>40</v>
      </c>
      <c r="H78" s="6">
        <v>47.3</v>
      </c>
      <c r="I78" s="6">
        <v>38.1</v>
      </c>
      <c r="J78" s="4">
        <v>1.88</v>
      </c>
      <c r="K78" s="4">
        <v>8.18</v>
      </c>
      <c r="L78" s="4">
        <v>8.32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>
        <v>1286</v>
      </c>
      <c r="AF78" s="4" t="s">
        <v>201</v>
      </c>
      <c r="AG78" s="4">
        <v>54</v>
      </c>
    </row>
    <row r="79" spans="1:34" x14ac:dyDescent="0.3">
      <c r="A79" s="4" t="s">
        <v>33</v>
      </c>
      <c r="B79" s="4">
        <v>616</v>
      </c>
      <c r="C79" s="4" t="s">
        <v>43</v>
      </c>
      <c r="D79" s="5">
        <v>44403</v>
      </c>
      <c r="E79" s="6">
        <v>40</v>
      </c>
      <c r="F79" s="6" t="s">
        <v>44</v>
      </c>
      <c r="G79" s="6" t="s">
        <v>40</v>
      </c>
      <c r="H79" s="6">
        <v>58.9</v>
      </c>
      <c r="I79" s="6">
        <v>38.6</v>
      </c>
      <c r="J79" s="4">
        <v>2.0099999999999998</v>
      </c>
      <c r="K79" s="4">
        <v>6.89</v>
      </c>
      <c r="L79" s="4">
        <v>6.89</v>
      </c>
      <c r="M79" s="4" t="s">
        <v>187</v>
      </c>
      <c r="N79" s="4" t="s">
        <v>188</v>
      </c>
      <c r="O79" s="4" t="s">
        <v>189</v>
      </c>
      <c r="P79" s="4" t="s">
        <v>190</v>
      </c>
      <c r="Q79" s="4">
        <v>10.07</v>
      </c>
      <c r="R79" s="4">
        <v>10.050000000000001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>
        <v>1924</v>
      </c>
      <c r="AF79" s="4">
        <v>86</v>
      </c>
      <c r="AG79" s="4">
        <v>156</v>
      </c>
    </row>
    <row r="80" spans="1:34" x14ac:dyDescent="0.3">
      <c r="A80" s="4" t="s">
        <v>33</v>
      </c>
      <c r="B80" s="4">
        <v>1058</v>
      </c>
      <c r="C80" s="4" t="s">
        <v>302</v>
      </c>
      <c r="D80" s="8">
        <v>44835</v>
      </c>
      <c r="E80" s="6">
        <v>40</v>
      </c>
      <c r="F80" s="6" t="s">
        <v>44</v>
      </c>
      <c r="G80" s="6" t="s">
        <v>40</v>
      </c>
      <c r="H80" s="6">
        <v>59.5</v>
      </c>
      <c r="I80" s="6">
        <v>38.799999999999997</v>
      </c>
      <c r="J80" s="4">
        <v>2.58</v>
      </c>
      <c r="K80" s="4">
        <v>8.8000000000000007</v>
      </c>
      <c r="L80" s="4">
        <v>8.34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>
        <v>1560</v>
      </c>
      <c r="AF80" s="4">
        <v>72</v>
      </c>
      <c r="AG80" s="4">
        <v>62</v>
      </c>
    </row>
    <row r="81" spans="1:34" x14ac:dyDescent="0.3">
      <c r="A81" s="4" t="s">
        <v>33</v>
      </c>
      <c r="B81" s="4">
        <v>410</v>
      </c>
      <c r="C81" s="4" t="s">
        <v>43</v>
      </c>
      <c r="D81" s="5">
        <v>44256</v>
      </c>
      <c r="E81" s="6">
        <v>21.9</v>
      </c>
      <c r="F81" s="6" t="s">
        <v>44</v>
      </c>
      <c r="G81" s="6" t="s">
        <v>40</v>
      </c>
      <c r="H81" s="6">
        <v>60</v>
      </c>
      <c r="I81" s="6">
        <v>38.799999999999997</v>
      </c>
      <c r="J81" s="4">
        <v>1.96</v>
      </c>
      <c r="K81" s="4">
        <v>6.9</v>
      </c>
      <c r="L81" s="4">
        <v>6.9</v>
      </c>
      <c r="M81" s="4" t="s">
        <v>50</v>
      </c>
      <c r="N81" s="4" t="s">
        <v>51</v>
      </c>
      <c r="O81" s="4" t="s">
        <v>52</v>
      </c>
      <c r="P81" s="4" t="s">
        <v>53</v>
      </c>
      <c r="Q81" s="4" t="s">
        <v>54</v>
      </c>
      <c r="R81" s="4" t="s">
        <v>55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>
        <v>1420</v>
      </c>
      <c r="AF81" s="4">
        <v>72</v>
      </c>
      <c r="AG81" s="4">
        <v>56</v>
      </c>
      <c r="AH81" s="14" t="s">
        <v>517</v>
      </c>
    </row>
    <row r="82" spans="1:34" x14ac:dyDescent="0.3">
      <c r="A82" s="4" t="s">
        <v>33</v>
      </c>
      <c r="B82" s="4">
        <v>296</v>
      </c>
      <c r="C82" s="4" t="s">
        <v>43</v>
      </c>
      <c r="D82" s="5" t="s">
        <v>42</v>
      </c>
      <c r="E82" s="6">
        <v>24</v>
      </c>
      <c r="F82" s="6" t="s">
        <v>44</v>
      </c>
      <c r="G82" s="6" t="s">
        <v>39</v>
      </c>
      <c r="H82" s="6">
        <v>59.5</v>
      </c>
      <c r="I82" s="6">
        <v>39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>
        <v>1350</v>
      </c>
      <c r="AF82" s="4">
        <v>86</v>
      </c>
      <c r="AG82" s="4"/>
      <c r="AH82" s="14" t="s">
        <v>517</v>
      </c>
    </row>
    <row r="83" spans="1:34" x14ac:dyDescent="0.3">
      <c r="A83" s="4" t="s">
        <v>33</v>
      </c>
      <c r="B83" s="4">
        <v>309</v>
      </c>
      <c r="C83" s="4" t="s">
        <v>41</v>
      </c>
      <c r="D83" s="5" t="s">
        <v>42</v>
      </c>
      <c r="E83" s="6">
        <v>24</v>
      </c>
      <c r="F83" s="6" t="s">
        <v>44</v>
      </c>
      <c r="G83" s="6" t="s">
        <v>40</v>
      </c>
      <c r="H83" s="6">
        <v>61</v>
      </c>
      <c r="I83" s="6">
        <v>39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>
        <v>1390</v>
      </c>
      <c r="AF83" s="4">
        <v>72</v>
      </c>
      <c r="AG83" s="4"/>
      <c r="AH83" s="14" t="s">
        <v>537</v>
      </c>
    </row>
    <row r="84" spans="1:34" x14ac:dyDescent="0.3">
      <c r="A84" s="4" t="s">
        <v>33</v>
      </c>
      <c r="B84" s="4">
        <v>1010</v>
      </c>
      <c r="C84" s="4" t="s">
        <v>302</v>
      </c>
      <c r="D84" s="5">
        <v>44510</v>
      </c>
      <c r="E84" s="6">
        <v>40</v>
      </c>
      <c r="F84" s="6" t="s">
        <v>44</v>
      </c>
      <c r="G84" s="6" t="s">
        <v>39</v>
      </c>
      <c r="H84" s="6">
        <v>59.5</v>
      </c>
      <c r="I84" s="6">
        <v>39.1</v>
      </c>
      <c r="J84" s="4">
        <v>1.54</v>
      </c>
      <c r="K84" s="4">
        <v>8.69</v>
      </c>
      <c r="L84" s="4">
        <v>8.49</v>
      </c>
      <c r="M84" s="4" t="s">
        <v>376</v>
      </c>
      <c r="N84" s="4" t="s">
        <v>377</v>
      </c>
      <c r="O84" s="4">
        <v>8</v>
      </c>
      <c r="P84" s="4">
        <v>8.2200000000000006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>
        <v>1972</v>
      </c>
      <c r="AF84" s="4">
        <v>76</v>
      </c>
      <c r="AG84" s="4">
        <v>124</v>
      </c>
    </row>
    <row r="85" spans="1:34" x14ac:dyDescent="0.3">
      <c r="A85" s="4" t="s">
        <v>33</v>
      </c>
      <c r="B85" s="4">
        <v>246</v>
      </c>
      <c r="C85" s="4" t="s">
        <v>43</v>
      </c>
      <c r="D85" s="5" t="s">
        <v>42</v>
      </c>
      <c r="E85" s="6">
        <v>15</v>
      </c>
      <c r="F85" s="6" t="s">
        <v>44</v>
      </c>
      <c r="G85" s="6" t="s">
        <v>40</v>
      </c>
      <c r="H85" s="6">
        <v>59</v>
      </c>
      <c r="I85" s="6">
        <v>39.299999999999997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>
        <v>986</v>
      </c>
      <c r="AF85" s="4">
        <v>54</v>
      </c>
      <c r="AG85" s="4">
        <v>2</v>
      </c>
      <c r="AH85" s="14" t="s">
        <v>531</v>
      </c>
    </row>
    <row r="86" spans="1:34" x14ac:dyDescent="0.3">
      <c r="A86" s="4" t="s">
        <v>33</v>
      </c>
      <c r="B86" s="4">
        <v>630</v>
      </c>
      <c r="C86" s="4" t="s">
        <v>43</v>
      </c>
      <c r="D86" s="5">
        <v>44403</v>
      </c>
      <c r="E86" s="6">
        <v>40</v>
      </c>
      <c r="F86" s="6" t="s">
        <v>44</v>
      </c>
      <c r="G86" s="6" t="s">
        <v>40</v>
      </c>
      <c r="H86" s="6">
        <v>49.1</v>
      </c>
      <c r="I86" s="6">
        <v>39.4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 t="s">
        <v>201</v>
      </c>
      <c r="AF86" s="4" t="s">
        <v>201</v>
      </c>
      <c r="AG86" s="4" t="s">
        <v>201</v>
      </c>
    </row>
    <row r="87" spans="1:34" x14ac:dyDescent="0.3">
      <c r="A87" s="4" t="s">
        <v>33</v>
      </c>
      <c r="B87" s="4">
        <v>618</v>
      </c>
      <c r="C87" s="4" t="s">
        <v>43</v>
      </c>
      <c r="D87" s="5">
        <v>44403</v>
      </c>
      <c r="E87" s="6">
        <v>40</v>
      </c>
      <c r="F87" s="6" t="s">
        <v>44</v>
      </c>
      <c r="G87" s="6" t="s">
        <v>40</v>
      </c>
      <c r="H87" s="6">
        <v>61.5</v>
      </c>
      <c r="I87" s="6">
        <v>39.5</v>
      </c>
      <c r="J87" s="4"/>
      <c r="K87" s="4">
        <v>6.92</v>
      </c>
      <c r="L87" s="4">
        <v>6.44</v>
      </c>
      <c r="M87" s="4" t="s">
        <v>193</v>
      </c>
      <c r="N87" s="4" t="s">
        <v>194</v>
      </c>
      <c r="O87" s="4"/>
      <c r="P87" s="4"/>
      <c r="Q87" s="4">
        <v>9.36</v>
      </c>
      <c r="R87" s="4">
        <v>9.4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>
        <v>968</v>
      </c>
      <c r="AF87" s="4">
        <v>70</v>
      </c>
      <c r="AG87" s="4">
        <v>8</v>
      </c>
    </row>
    <row r="88" spans="1:34" x14ac:dyDescent="0.3">
      <c r="A88" s="4" t="s">
        <v>33</v>
      </c>
      <c r="B88" s="4">
        <v>674</v>
      </c>
      <c r="C88" s="4" t="s">
        <v>43</v>
      </c>
      <c r="D88" s="5">
        <v>44438</v>
      </c>
      <c r="E88" s="6">
        <v>40</v>
      </c>
      <c r="F88" s="6" t="s">
        <v>44</v>
      </c>
      <c r="G88" s="6" t="s">
        <v>39</v>
      </c>
      <c r="H88" s="6">
        <v>56</v>
      </c>
      <c r="I88" s="6">
        <v>40</v>
      </c>
      <c r="J88" s="4">
        <v>2.38</v>
      </c>
      <c r="K88" s="4">
        <v>8.14</v>
      </c>
      <c r="L88" s="4">
        <v>8.5</v>
      </c>
      <c r="M88" s="4" t="s">
        <v>259</v>
      </c>
      <c r="N88" s="4" t="s">
        <v>260</v>
      </c>
      <c r="O88" s="4" t="s">
        <v>261</v>
      </c>
      <c r="P88" s="4" t="s">
        <v>262</v>
      </c>
      <c r="Q88" s="4">
        <v>9.35</v>
      </c>
      <c r="R88" s="4">
        <v>10.51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>
        <v>1838</v>
      </c>
      <c r="AF88" s="4">
        <v>82</v>
      </c>
      <c r="AG88" s="4">
        <v>156</v>
      </c>
      <c r="AH88" s="14" t="s">
        <v>578</v>
      </c>
    </row>
    <row r="89" spans="1:34" x14ac:dyDescent="0.3">
      <c r="A89" s="4" t="s">
        <v>33</v>
      </c>
      <c r="B89" s="4">
        <v>206</v>
      </c>
      <c r="C89" s="4" t="s">
        <v>43</v>
      </c>
      <c r="D89" s="5" t="s">
        <v>42</v>
      </c>
      <c r="E89" s="6">
        <v>15</v>
      </c>
      <c r="F89" s="6" t="s">
        <v>44</v>
      </c>
      <c r="G89" s="6" t="s">
        <v>40</v>
      </c>
      <c r="H89" s="6">
        <v>56.3</v>
      </c>
      <c r="I89" s="6">
        <v>40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>
        <v>1282</v>
      </c>
      <c r="AF89" s="4">
        <v>74</v>
      </c>
      <c r="AG89" s="4">
        <v>18</v>
      </c>
    </row>
    <row r="90" spans="1:34" x14ac:dyDescent="0.3">
      <c r="A90" s="4" t="s">
        <v>33</v>
      </c>
      <c r="B90" s="4">
        <v>619</v>
      </c>
      <c r="C90" s="4" t="s">
        <v>43</v>
      </c>
      <c r="D90" s="5">
        <v>44403</v>
      </c>
      <c r="E90" s="6">
        <v>40</v>
      </c>
      <c r="F90" s="6" t="s">
        <v>44</v>
      </c>
      <c r="G90" s="6" t="s">
        <v>40</v>
      </c>
      <c r="H90" s="6">
        <v>59.4</v>
      </c>
      <c r="I90" s="6">
        <v>40.1</v>
      </c>
      <c r="J90" s="4">
        <v>1.76</v>
      </c>
      <c r="K90" s="4">
        <v>7.75</v>
      </c>
      <c r="L90" s="4">
        <v>8.4</v>
      </c>
      <c r="M90" s="4">
        <v>8.4600000000000009</v>
      </c>
      <c r="N90" s="4">
        <v>7.8</v>
      </c>
      <c r="O90" s="4">
        <v>7.6</v>
      </c>
      <c r="P90" s="4">
        <v>7.9</v>
      </c>
      <c r="Q90" s="4">
        <v>10.029999999999999</v>
      </c>
      <c r="R90" s="4">
        <v>9.83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>
        <v>2420</v>
      </c>
      <c r="AF90" s="4">
        <v>120</v>
      </c>
      <c r="AG90" s="4">
        <v>182</v>
      </c>
    </row>
    <row r="91" spans="1:34" x14ac:dyDescent="0.3">
      <c r="A91" s="4" t="s">
        <v>33</v>
      </c>
      <c r="B91" s="4">
        <v>304</v>
      </c>
      <c r="C91" s="4" t="s">
        <v>43</v>
      </c>
      <c r="D91" s="5" t="s">
        <v>42</v>
      </c>
      <c r="E91" s="6">
        <v>24</v>
      </c>
      <c r="F91" s="6" t="s">
        <v>44</v>
      </c>
      <c r="G91" s="6" t="s">
        <v>40</v>
      </c>
      <c r="H91" s="6">
        <v>54.3</v>
      </c>
      <c r="I91" s="6">
        <v>40.200000000000003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>
        <v>1620</v>
      </c>
      <c r="AF91" s="4">
        <v>72</v>
      </c>
      <c r="AG91" s="4"/>
      <c r="AH91" s="14" t="s">
        <v>517</v>
      </c>
    </row>
    <row r="92" spans="1:34" x14ac:dyDescent="0.3">
      <c r="A92" s="4" t="s">
        <v>33</v>
      </c>
      <c r="B92" s="4">
        <v>383</v>
      </c>
      <c r="C92" s="4" t="s">
        <v>46</v>
      </c>
      <c r="D92" s="5">
        <v>44256</v>
      </c>
      <c r="E92" s="6">
        <v>21.9</v>
      </c>
      <c r="F92" s="6" t="s">
        <v>44</v>
      </c>
      <c r="G92" s="6" t="s">
        <v>40</v>
      </c>
      <c r="H92" s="6">
        <v>62</v>
      </c>
      <c r="I92" s="6">
        <v>40.200000000000003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>
        <v>874</v>
      </c>
      <c r="AF92" s="4">
        <v>44</v>
      </c>
      <c r="AG92" s="4">
        <v>2</v>
      </c>
      <c r="AH92" s="14" t="s">
        <v>517</v>
      </c>
    </row>
    <row r="93" spans="1:34" x14ac:dyDescent="0.3">
      <c r="A93" s="4" t="s">
        <v>33</v>
      </c>
      <c r="B93" s="4">
        <v>231</v>
      </c>
      <c r="C93" s="4" t="s">
        <v>43</v>
      </c>
      <c r="D93" s="5" t="s">
        <v>42</v>
      </c>
      <c r="E93" s="6">
        <v>15</v>
      </c>
      <c r="F93" s="6" t="s">
        <v>44</v>
      </c>
      <c r="G93" s="6" t="s">
        <v>40</v>
      </c>
      <c r="H93" s="6">
        <v>62.9</v>
      </c>
      <c r="I93" s="6">
        <v>40.200000000000003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>
        <v>974</v>
      </c>
      <c r="AF93" s="4">
        <v>46</v>
      </c>
      <c r="AG93" s="4">
        <v>4</v>
      </c>
      <c r="AH93" t="s">
        <v>516</v>
      </c>
    </row>
    <row r="94" spans="1:34" x14ac:dyDescent="0.3">
      <c r="A94" s="4" t="s">
        <v>33</v>
      </c>
      <c r="B94" s="4">
        <v>1020</v>
      </c>
      <c r="C94" s="4" t="s">
        <v>302</v>
      </c>
      <c r="D94" s="4" t="s">
        <v>325</v>
      </c>
      <c r="E94" s="6">
        <v>40</v>
      </c>
      <c r="F94" s="6" t="s">
        <v>44</v>
      </c>
      <c r="G94" s="6" t="s">
        <v>40</v>
      </c>
      <c r="H94" s="6">
        <v>62.7</v>
      </c>
      <c r="I94" s="6">
        <v>40.299999999999997</v>
      </c>
      <c r="J94" s="4">
        <v>2</v>
      </c>
      <c r="K94" s="4">
        <v>8.6300000000000008</v>
      </c>
      <c r="L94" s="4">
        <v>8.0299999999999994</v>
      </c>
      <c r="M94" s="4" t="s">
        <v>384</v>
      </c>
      <c r="N94" s="4" t="s">
        <v>385</v>
      </c>
      <c r="O94" s="4">
        <v>6.54</v>
      </c>
      <c r="P94" s="4">
        <v>6.7</v>
      </c>
      <c r="Q94" s="4" t="s">
        <v>201</v>
      </c>
      <c r="R94" s="4" t="s">
        <v>201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>
        <v>866</v>
      </c>
      <c r="AF94" s="4" t="s">
        <v>201</v>
      </c>
      <c r="AG94" s="4">
        <v>60</v>
      </c>
    </row>
    <row r="95" spans="1:34" x14ac:dyDescent="0.3">
      <c r="A95" s="4" t="s">
        <v>33</v>
      </c>
      <c r="B95" s="4">
        <v>187</v>
      </c>
      <c r="C95" s="4" t="s">
        <v>41</v>
      </c>
      <c r="D95" s="5" t="s">
        <v>42</v>
      </c>
      <c r="E95" s="6">
        <v>15</v>
      </c>
      <c r="F95" s="6" t="s">
        <v>44</v>
      </c>
      <c r="G95" s="6" t="s">
        <v>39</v>
      </c>
      <c r="H95" s="6">
        <v>64.8</v>
      </c>
      <c r="I95" s="6">
        <v>40.4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>
        <v>1002</v>
      </c>
      <c r="AF95" s="4">
        <v>58</v>
      </c>
      <c r="AG95" s="4"/>
      <c r="AH95" s="14" t="s">
        <v>515</v>
      </c>
    </row>
    <row r="96" spans="1:34" x14ac:dyDescent="0.3">
      <c r="A96" s="4" t="s">
        <v>33</v>
      </c>
      <c r="B96" s="4">
        <v>539</v>
      </c>
      <c r="C96" s="4" t="s">
        <v>43</v>
      </c>
      <c r="D96" s="5">
        <v>44336</v>
      </c>
      <c r="E96" s="6"/>
      <c r="F96" s="6" t="s">
        <v>44</v>
      </c>
      <c r="G96" s="6" t="s">
        <v>40</v>
      </c>
      <c r="H96" s="6">
        <v>57.6</v>
      </c>
      <c r="I96" s="6">
        <v>40.5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>
        <v>294</v>
      </c>
      <c r="AF96" s="4">
        <v>18</v>
      </c>
      <c r="AG96" s="4">
        <v>0</v>
      </c>
      <c r="AH96" s="14" t="s">
        <v>517</v>
      </c>
    </row>
    <row r="97" spans="1:34" x14ac:dyDescent="0.3">
      <c r="A97" s="4" t="s">
        <v>33</v>
      </c>
      <c r="B97" s="4">
        <v>337</v>
      </c>
      <c r="C97" s="4" t="s">
        <v>41</v>
      </c>
      <c r="D97" s="5" t="s">
        <v>42</v>
      </c>
      <c r="E97" s="6">
        <v>24</v>
      </c>
      <c r="F97" s="6" t="s">
        <v>44</v>
      </c>
      <c r="G97" s="6" t="s">
        <v>40</v>
      </c>
      <c r="H97" s="6">
        <v>66</v>
      </c>
      <c r="I97" s="6">
        <v>40.5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>
        <v>1502</v>
      </c>
      <c r="AF97" s="4">
        <v>74</v>
      </c>
      <c r="AG97" s="4"/>
    </row>
    <row r="98" spans="1:34" x14ac:dyDescent="0.3">
      <c r="A98" s="4" t="s">
        <v>33</v>
      </c>
      <c r="B98" s="4">
        <v>1070</v>
      </c>
      <c r="C98" s="4" t="s">
        <v>302</v>
      </c>
      <c r="D98" s="8">
        <v>44835</v>
      </c>
      <c r="E98" s="6">
        <v>40</v>
      </c>
      <c r="F98" s="6" t="s">
        <v>44</v>
      </c>
      <c r="G98" s="6" t="s">
        <v>40</v>
      </c>
      <c r="H98" s="6">
        <v>57.3</v>
      </c>
      <c r="I98" s="6">
        <v>40.6</v>
      </c>
      <c r="J98" s="4">
        <v>1.8</v>
      </c>
      <c r="K98" s="4">
        <v>7.4</v>
      </c>
      <c r="L98" s="4">
        <v>8.3000000000000007</v>
      </c>
      <c r="M98" s="4" t="s">
        <v>418</v>
      </c>
      <c r="N98" s="4" t="s">
        <v>426</v>
      </c>
      <c r="O98" s="4">
        <v>7.6</v>
      </c>
      <c r="P98" s="4">
        <v>8.1</v>
      </c>
      <c r="Q98" s="4" t="s">
        <v>201</v>
      </c>
      <c r="R98" s="4" t="s">
        <v>201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>
        <v>1312</v>
      </c>
      <c r="AF98" s="4">
        <v>50</v>
      </c>
      <c r="AG98" s="4">
        <v>66</v>
      </c>
    </row>
    <row r="99" spans="1:34" x14ac:dyDescent="0.3">
      <c r="A99" s="4" t="s">
        <v>33</v>
      </c>
      <c r="B99" s="4">
        <v>588</v>
      </c>
      <c r="C99" s="4" t="s">
        <v>43</v>
      </c>
      <c r="D99" s="5">
        <v>44361</v>
      </c>
      <c r="E99" s="6"/>
      <c r="F99" s="6" t="s">
        <v>44</v>
      </c>
      <c r="G99" s="6" t="s">
        <v>40</v>
      </c>
      <c r="H99" s="6">
        <v>61.8</v>
      </c>
      <c r="I99" s="6">
        <v>40.6</v>
      </c>
      <c r="J99" s="4">
        <v>2.0099999999999998</v>
      </c>
      <c r="K99" s="4">
        <v>7.22</v>
      </c>
      <c r="L99" s="4">
        <v>7.22</v>
      </c>
      <c r="M99" s="4"/>
      <c r="N99" s="4"/>
      <c r="O99" s="4" t="s">
        <v>167</v>
      </c>
      <c r="P99" s="4" t="s">
        <v>168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>
        <v>1540</v>
      </c>
      <c r="AF99" s="4"/>
      <c r="AG99" s="4">
        <v>30</v>
      </c>
      <c r="AH99" s="14" t="s">
        <v>564</v>
      </c>
    </row>
    <row r="100" spans="1:34" x14ac:dyDescent="0.3">
      <c r="A100" s="4" t="s">
        <v>33</v>
      </c>
      <c r="B100" s="4">
        <v>511</v>
      </c>
      <c r="C100" s="4" t="s">
        <v>43</v>
      </c>
      <c r="D100" s="5">
        <v>44336</v>
      </c>
      <c r="E100" s="6"/>
      <c r="F100" s="6" t="s">
        <v>44</v>
      </c>
      <c r="G100" s="6" t="s">
        <v>39</v>
      </c>
      <c r="H100" s="6">
        <v>62.1</v>
      </c>
      <c r="I100" s="6">
        <v>40.6</v>
      </c>
      <c r="J100" s="4"/>
      <c r="K100" s="4">
        <v>1.2</v>
      </c>
      <c r="L100" s="4">
        <v>1.2</v>
      </c>
      <c r="M100" s="4" t="s">
        <v>93</v>
      </c>
      <c r="N100" s="4" t="s">
        <v>93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>
        <v>435</v>
      </c>
      <c r="AF100" s="4">
        <v>18</v>
      </c>
      <c r="AG100" s="4"/>
      <c r="AH100" s="14" t="s">
        <v>517</v>
      </c>
    </row>
    <row r="101" spans="1:34" x14ac:dyDescent="0.3">
      <c r="A101" s="4" t="s">
        <v>33</v>
      </c>
      <c r="B101" s="4">
        <v>228</v>
      </c>
      <c r="C101" s="4" t="s">
        <v>43</v>
      </c>
      <c r="D101" s="5" t="s">
        <v>42</v>
      </c>
      <c r="E101" s="6">
        <v>15</v>
      </c>
      <c r="F101" s="6" t="s">
        <v>44</v>
      </c>
      <c r="G101" s="6" t="s">
        <v>39</v>
      </c>
      <c r="H101" s="6">
        <v>66.099999999999994</v>
      </c>
      <c r="I101" s="6">
        <v>40.700000000000003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>
        <v>1370</v>
      </c>
      <c r="AF101" s="4">
        <v>62</v>
      </c>
      <c r="AG101" s="4">
        <v>56</v>
      </c>
      <c r="AH101" t="s">
        <v>516</v>
      </c>
    </row>
    <row r="102" spans="1:34" x14ac:dyDescent="0.3">
      <c r="A102" s="4" t="s">
        <v>33</v>
      </c>
      <c r="B102" s="4">
        <v>1126</v>
      </c>
      <c r="C102" s="4" t="s">
        <v>302</v>
      </c>
      <c r="D102" s="11" t="s">
        <v>447</v>
      </c>
      <c r="E102" s="13">
        <v>45268</v>
      </c>
      <c r="F102" s="6" t="s">
        <v>44</v>
      </c>
      <c r="G102" s="6" t="s">
        <v>40</v>
      </c>
      <c r="H102" s="6">
        <v>61.4</v>
      </c>
      <c r="I102" s="6">
        <v>40.799999999999997</v>
      </c>
      <c r="J102" s="4">
        <v>1.86</v>
      </c>
      <c r="K102" s="4">
        <v>8.1199999999999992</v>
      </c>
      <c r="L102" s="4">
        <v>8.16</v>
      </c>
      <c r="M102" s="4" t="s">
        <v>487</v>
      </c>
      <c r="N102" s="4"/>
      <c r="O102" s="4">
        <v>8.4499999999999993</v>
      </c>
      <c r="P102" s="4">
        <v>3.1</v>
      </c>
      <c r="Q102" s="4">
        <v>13.57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>
        <v>1452</v>
      </c>
      <c r="AF102" s="4"/>
      <c r="AG102" s="4">
        <v>14</v>
      </c>
    </row>
    <row r="103" spans="1:34" x14ac:dyDescent="0.3">
      <c r="A103" s="4" t="s">
        <v>33</v>
      </c>
      <c r="B103" s="4">
        <v>199</v>
      </c>
      <c r="C103" s="4" t="s">
        <v>41</v>
      </c>
      <c r="D103" s="5" t="s">
        <v>42</v>
      </c>
      <c r="E103" s="6">
        <v>15</v>
      </c>
      <c r="F103" s="6" t="s">
        <v>44</v>
      </c>
      <c r="G103" s="6" t="s">
        <v>39</v>
      </c>
      <c r="H103" s="6">
        <v>62.1</v>
      </c>
      <c r="I103" s="6">
        <v>40.799999999999997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>
        <v>1379</v>
      </c>
      <c r="AF103" s="4">
        <v>60</v>
      </c>
      <c r="AG103" s="4">
        <v>52</v>
      </c>
      <c r="AH103" s="14" t="s">
        <v>516</v>
      </c>
    </row>
    <row r="104" spans="1:34" x14ac:dyDescent="0.3">
      <c r="A104" s="4" t="s">
        <v>33</v>
      </c>
      <c r="B104" s="4">
        <v>456</v>
      </c>
      <c r="C104" s="4" t="s">
        <v>43</v>
      </c>
      <c r="D104" s="5">
        <v>44336</v>
      </c>
      <c r="E104" s="6"/>
      <c r="F104" s="6" t="s">
        <v>44</v>
      </c>
      <c r="G104" s="6" t="s">
        <v>40</v>
      </c>
      <c r="H104" s="6">
        <v>63.1</v>
      </c>
      <c r="I104" s="6">
        <v>40.799999999999997</v>
      </c>
      <c r="J104" s="4"/>
      <c r="K104" s="4">
        <v>2.5</v>
      </c>
      <c r="L104" s="4">
        <v>2.5</v>
      </c>
      <c r="M104" s="4">
        <v>1.04</v>
      </c>
      <c r="N104" s="4">
        <v>1.5</v>
      </c>
      <c r="O104" s="4"/>
      <c r="P104" s="4"/>
      <c r="Q104" s="4">
        <v>1.9</v>
      </c>
      <c r="R104" s="4">
        <v>1.9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>
        <v>728</v>
      </c>
      <c r="AF104" s="4">
        <v>44</v>
      </c>
      <c r="AG104" s="4">
        <v>4</v>
      </c>
      <c r="AH104" s="14" t="s">
        <v>549</v>
      </c>
    </row>
    <row r="105" spans="1:34" x14ac:dyDescent="0.3">
      <c r="A105" s="4" t="s">
        <v>33</v>
      </c>
      <c r="B105" s="4">
        <v>252</v>
      </c>
      <c r="C105" s="4" t="s">
        <v>43</v>
      </c>
      <c r="D105" s="5" t="s">
        <v>42</v>
      </c>
      <c r="E105" s="6">
        <v>15</v>
      </c>
      <c r="F105" s="6" t="s">
        <v>44</v>
      </c>
      <c r="G105" s="6" t="s">
        <v>40</v>
      </c>
      <c r="H105" s="6">
        <v>65.2</v>
      </c>
      <c r="I105" s="6">
        <v>40.799999999999997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>
        <v>1032</v>
      </c>
      <c r="AF105" s="4">
        <v>52</v>
      </c>
      <c r="AG105" s="4">
        <v>18</v>
      </c>
      <c r="AH105" s="14" t="s">
        <v>517</v>
      </c>
    </row>
    <row r="106" spans="1:34" x14ac:dyDescent="0.3">
      <c r="A106" s="4" t="s">
        <v>33</v>
      </c>
      <c r="B106" s="4">
        <v>322</v>
      </c>
      <c r="C106" s="4" t="s">
        <v>41</v>
      </c>
      <c r="D106" s="5" t="s">
        <v>42</v>
      </c>
      <c r="E106" s="6">
        <v>24</v>
      </c>
      <c r="F106" s="6" t="s">
        <v>44</v>
      </c>
      <c r="G106" s="6" t="s">
        <v>39</v>
      </c>
      <c r="H106" s="6">
        <v>60.7</v>
      </c>
      <c r="I106" s="6">
        <v>40.9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1400</v>
      </c>
      <c r="AF106" s="4">
        <v>84</v>
      </c>
      <c r="AG106" s="4"/>
      <c r="AH106" s="14" t="s">
        <v>540</v>
      </c>
    </row>
    <row r="107" spans="1:34" x14ac:dyDescent="0.3">
      <c r="A107" s="4" t="s">
        <v>33</v>
      </c>
      <c r="B107" s="4">
        <v>1152</v>
      </c>
      <c r="C107" s="4" t="s">
        <v>488</v>
      </c>
      <c r="D107" s="5">
        <v>44438</v>
      </c>
      <c r="E107" s="6" t="s">
        <v>489</v>
      </c>
      <c r="F107" s="6" t="s">
        <v>44</v>
      </c>
      <c r="G107" s="6" t="s">
        <v>40</v>
      </c>
      <c r="H107" s="6">
        <v>63</v>
      </c>
      <c r="I107" s="6">
        <v>40.9</v>
      </c>
      <c r="J107" s="4"/>
      <c r="K107" s="4">
        <v>8.8699999999999992</v>
      </c>
      <c r="L107" s="4">
        <v>8.42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>
        <v>1216</v>
      </c>
      <c r="AF107" s="4"/>
      <c r="AG107" s="4"/>
    </row>
    <row r="108" spans="1:34" x14ac:dyDescent="0.3">
      <c r="A108" s="4" t="s">
        <v>33</v>
      </c>
      <c r="B108" s="4">
        <v>301</v>
      </c>
      <c r="C108" s="4" t="s">
        <v>43</v>
      </c>
      <c r="D108" s="5" t="s">
        <v>42</v>
      </c>
      <c r="E108" s="6">
        <v>24</v>
      </c>
      <c r="F108" s="6" t="s">
        <v>44</v>
      </c>
      <c r="G108" s="6" t="s">
        <v>39</v>
      </c>
      <c r="H108" s="6">
        <v>67</v>
      </c>
      <c r="I108" s="6">
        <v>41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>
        <v>1254</v>
      </c>
      <c r="AF108" s="4">
        <v>58</v>
      </c>
      <c r="AG108" s="4"/>
      <c r="AH108" s="14" t="s">
        <v>537</v>
      </c>
    </row>
    <row r="109" spans="1:34" x14ac:dyDescent="0.3">
      <c r="A109" s="4" t="s">
        <v>33</v>
      </c>
      <c r="B109" s="4">
        <v>333</v>
      </c>
      <c r="C109" s="4" t="s">
        <v>41</v>
      </c>
      <c r="D109" s="5" t="s">
        <v>42</v>
      </c>
      <c r="E109" s="6">
        <v>24</v>
      </c>
      <c r="F109" s="6" t="s">
        <v>44</v>
      </c>
      <c r="G109" s="6" t="s">
        <v>40</v>
      </c>
      <c r="H109" s="6">
        <v>60.2</v>
      </c>
      <c r="I109" s="6">
        <v>41.1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>
        <v>1544</v>
      </c>
      <c r="AF109" s="4">
        <v>78</v>
      </c>
      <c r="AG109" s="4"/>
      <c r="AH109" s="14" t="s">
        <v>517</v>
      </c>
    </row>
    <row r="110" spans="1:34" x14ac:dyDescent="0.3">
      <c r="A110" s="4" t="s">
        <v>33</v>
      </c>
      <c r="B110" s="4">
        <v>851</v>
      </c>
      <c r="C110" s="4" t="s">
        <v>303</v>
      </c>
      <c r="D110" s="5">
        <v>44480</v>
      </c>
      <c r="E110" s="6">
        <v>40</v>
      </c>
      <c r="F110" s="6" t="s">
        <v>44</v>
      </c>
      <c r="G110" s="6" t="s">
        <v>40</v>
      </c>
      <c r="H110" s="6">
        <v>61</v>
      </c>
      <c r="I110" s="6">
        <v>41.1</v>
      </c>
      <c r="J110" s="4" t="s">
        <v>201</v>
      </c>
      <c r="K110" s="4">
        <v>4</v>
      </c>
      <c r="L110" s="4">
        <v>4.3099999999999996</v>
      </c>
      <c r="M110" s="4" t="s">
        <v>201</v>
      </c>
      <c r="N110" s="4" t="s">
        <v>201</v>
      </c>
      <c r="O110" s="4" t="s">
        <v>201</v>
      </c>
      <c r="P110" s="4" t="s">
        <v>201</v>
      </c>
      <c r="Q110" s="4" t="s">
        <v>201</v>
      </c>
      <c r="R110" s="4" t="s">
        <v>201</v>
      </c>
      <c r="S110" s="4"/>
      <c r="T110" s="4"/>
      <c r="U110" s="4"/>
      <c r="V110" s="4"/>
      <c r="W110" s="4" t="s">
        <v>201</v>
      </c>
      <c r="X110" s="4" t="s">
        <v>201</v>
      </c>
      <c r="Y110" s="4" t="s">
        <v>201</v>
      </c>
      <c r="Z110" s="4" t="s">
        <v>201</v>
      </c>
      <c r="AA110" s="4"/>
      <c r="AB110" s="4"/>
      <c r="AC110" s="4"/>
      <c r="AD110" s="4"/>
      <c r="AE110" s="4">
        <v>832</v>
      </c>
      <c r="AF110" s="4">
        <v>46</v>
      </c>
      <c r="AG110" s="4" t="s">
        <v>201</v>
      </c>
    </row>
    <row r="111" spans="1:34" x14ac:dyDescent="0.3">
      <c r="A111" s="4" t="s">
        <v>33</v>
      </c>
      <c r="B111" s="4">
        <v>671</v>
      </c>
      <c r="C111" s="4" t="s">
        <v>43</v>
      </c>
      <c r="D111" s="5">
        <v>44438</v>
      </c>
      <c r="E111" s="6">
        <v>40</v>
      </c>
      <c r="F111" s="6" t="s">
        <v>44</v>
      </c>
      <c r="G111" s="6" t="s">
        <v>40</v>
      </c>
      <c r="H111" s="6">
        <v>62</v>
      </c>
      <c r="I111" s="6">
        <v>41.2</v>
      </c>
      <c r="J111" s="4">
        <v>2.31</v>
      </c>
      <c r="K111" s="4">
        <v>8.32</v>
      </c>
      <c r="L111" s="4">
        <v>7.76</v>
      </c>
      <c r="M111" s="4" t="s">
        <v>252</v>
      </c>
      <c r="N111" s="4" t="s">
        <v>253</v>
      </c>
      <c r="O111" s="4" t="s">
        <v>254</v>
      </c>
      <c r="P111" s="4" t="s">
        <v>255</v>
      </c>
      <c r="Q111" s="4">
        <v>10.72</v>
      </c>
      <c r="R111" s="4">
        <v>11.09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>
        <v>1522</v>
      </c>
      <c r="AF111" s="4">
        <v>58</v>
      </c>
      <c r="AG111" s="4">
        <v>88</v>
      </c>
    </row>
    <row r="112" spans="1:34" x14ac:dyDescent="0.3">
      <c r="A112" s="4" t="s">
        <v>33</v>
      </c>
      <c r="B112" s="4">
        <v>232</v>
      </c>
      <c r="C112" s="4" t="s">
        <v>43</v>
      </c>
      <c r="D112" s="5" t="s">
        <v>42</v>
      </c>
      <c r="E112" s="6">
        <v>15</v>
      </c>
      <c r="F112" s="6" t="s">
        <v>44</v>
      </c>
      <c r="G112" s="6" t="s">
        <v>40</v>
      </c>
      <c r="H112" s="6">
        <v>52.3</v>
      </c>
      <c r="I112" s="6">
        <v>41.4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>
        <v>1194</v>
      </c>
      <c r="AF112" s="4">
        <v>78</v>
      </c>
      <c r="AG112" s="4">
        <v>20</v>
      </c>
      <c r="AH112" t="s">
        <v>524</v>
      </c>
    </row>
    <row r="113" spans="1:34" x14ac:dyDescent="0.3">
      <c r="A113" s="4" t="s">
        <v>33</v>
      </c>
      <c r="B113" s="4">
        <v>1009</v>
      </c>
      <c r="C113" s="4" t="s">
        <v>302</v>
      </c>
      <c r="D113" s="4" t="s">
        <v>325</v>
      </c>
      <c r="E113" s="6">
        <v>40</v>
      </c>
      <c r="F113" s="6" t="s">
        <v>44</v>
      </c>
      <c r="G113" s="6" t="s">
        <v>39</v>
      </c>
      <c r="H113" s="6">
        <v>54.5</v>
      </c>
      <c r="I113" s="6">
        <v>41.4</v>
      </c>
      <c r="J113" s="4">
        <v>1.98</v>
      </c>
      <c r="K113" s="4">
        <v>8.1999999999999993</v>
      </c>
      <c r="L113" s="4">
        <v>7.3</v>
      </c>
      <c r="M113" s="4" t="s">
        <v>374</v>
      </c>
      <c r="N113" s="4" t="s">
        <v>375</v>
      </c>
      <c r="O113" s="4">
        <v>6.96</v>
      </c>
      <c r="P113" s="4">
        <v>7.11</v>
      </c>
      <c r="Q113" s="4" t="s">
        <v>201</v>
      </c>
      <c r="R113" s="4" t="s">
        <v>201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>
        <v>1034</v>
      </c>
      <c r="AF113" s="4">
        <v>72</v>
      </c>
      <c r="AG113" s="4">
        <v>44</v>
      </c>
    </row>
    <row r="114" spans="1:34" x14ac:dyDescent="0.3">
      <c r="A114" s="4" t="s">
        <v>33</v>
      </c>
      <c r="B114" s="4">
        <v>190</v>
      </c>
      <c r="C114" s="4" t="s">
        <v>43</v>
      </c>
      <c r="D114" s="5" t="s">
        <v>42</v>
      </c>
      <c r="E114" s="6">
        <v>15</v>
      </c>
      <c r="F114" s="6" t="s">
        <v>44</v>
      </c>
      <c r="G114" s="6" t="s">
        <v>39</v>
      </c>
      <c r="H114" s="6">
        <v>61.5</v>
      </c>
      <c r="I114" s="6">
        <v>41.5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>
        <v>1234</v>
      </c>
      <c r="AF114" s="4"/>
      <c r="AG114" s="4"/>
    </row>
    <row r="115" spans="1:34" x14ac:dyDescent="0.3">
      <c r="A115" s="4" t="s">
        <v>33</v>
      </c>
      <c r="B115" s="4">
        <v>994</v>
      </c>
      <c r="C115" s="4" t="s">
        <v>302</v>
      </c>
      <c r="D115" s="4" t="s">
        <v>325</v>
      </c>
      <c r="E115" s="6">
        <v>40</v>
      </c>
      <c r="F115" s="6" t="s">
        <v>44</v>
      </c>
      <c r="G115" s="6" t="s">
        <v>39</v>
      </c>
      <c r="H115" s="6">
        <v>62.2</v>
      </c>
      <c r="I115" s="6">
        <v>41.5</v>
      </c>
      <c r="J115" s="4">
        <v>1.95</v>
      </c>
      <c r="K115" s="4">
        <v>7.3</v>
      </c>
      <c r="L115" s="4">
        <v>7.3</v>
      </c>
      <c r="M115" s="4" t="s">
        <v>355</v>
      </c>
      <c r="N115" s="4" t="s">
        <v>356</v>
      </c>
      <c r="O115" s="4">
        <v>8.33</v>
      </c>
      <c r="P115" s="4">
        <v>8.0399999999999991</v>
      </c>
      <c r="Q115" s="4">
        <v>3.9</v>
      </c>
      <c r="R115" s="4">
        <v>4.1500000000000004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>
        <v>1060</v>
      </c>
      <c r="AF115" s="4">
        <v>46</v>
      </c>
      <c r="AG115" s="4">
        <v>64</v>
      </c>
    </row>
    <row r="116" spans="1:34" x14ac:dyDescent="0.3">
      <c r="A116" s="4" t="s">
        <v>33</v>
      </c>
      <c r="B116" s="4">
        <v>230</v>
      </c>
      <c r="C116" s="4" t="s">
        <v>43</v>
      </c>
      <c r="D116" s="5" t="s">
        <v>42</v>
      </c>
      <c r="E116" s="6">
        <v>15</v>
      </c>
      <c r="F116" s="6" t="s">
        <v>44</v>
      </c>
      <c r="G116" s="6" t="s">
        <v>39</v>
      </c>
      <c r="H116" s="6">
        <v>67.599999999999994</v>
      </c>
      <c r="I116" s="6">
        <v>41.5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>
        <v>1274</v>
      </c>
      <c r="AF116" s="4">
        <v>68</v>
      </c>
      <c r="AG116" s="4">
        <v>24</v>
      </c>
    </row>
    <row r="117" spans="1:34" x14ac:dyDescent="0.3">
      <c r="A117" s="4" t="s">
        <v>33</v>
      </c>
      <c r="B117" s="4">
        <v>1075</v>
      </c>
      <c r="C117" s="4" t="s">
        <v>302</v>
      </c>
      <c r="D117" s="8">
        <v>44835</v>
      </c>
      <c r="E117" s="6">
        <v>20</v>
      </c>
      <c r="F117" s="6" t="s">
        <v>44</v>
      </c>
      <c r="G117" s="6" t="s">
        <v>39</v>
      </c>
      <c r="H117" s="6">
        <v>53.9</v>
      </c>
      <c r="I117" s="6">
        <v>41.6</v>
      </c>
      <c r="J117" s="4">
        <v>2</v>
      </c>
      <c r="K117" s="4">
        <v>7.32</v>
      </c>
      <c r="L117" s="4">
        <v>7.36</v>
      </c>
      <c r="M117" s="4" t="s">
        <v>435</v>
      </c>
      <c r="N117" s="4" t="s">
        <v>436</v>
      </c>
      <c r="O117" s="4">
        <v>7.1</v>
      </c>
      <c r="P117" s="4">
        <v>7.1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>
        <v>1374</v>
      </c>
      <c r="AF117" s="4">
        <v>56</v>
      </c>
      <c r="AG117" s="4">
        <v>66</v>
      </c>
    </row>
    <row r="118" spans="1:34" x14ac:dyDescent="0.3">
      <c r="A118" s="4" t="s">
        <v>33</v>
      </c>
      <c r="B118" s="4">
        <v>677</v>
      </c>
      <c r="C118" s="4" t="s">
        <v>43</v>
      </c>
      <c r="D118" s="5">
        <v>44438</v>
      </c>
      <c r="E118" s="6">
        <v>40</v>
      </c>
      <c r="F118" s="6" t="s">
        <v>44</v>
      </c>
      <c r="G118" s="6" t="s">
        <v>40</v>
      </c>
      <c r="H118" s="6">
        <v>61.1</v>
      </c>
      <c r="I118" s="6">
        <v>41.6</v>
      </c>
      <c r="J118" s="4">
        <v>2.2999999999999998</v>
      </c>
      <c r="K118" s="4">
        <v>7.8</v>
      </c>
      <c r="L118" s="4">
        <v>7.3</v>
      </c>
      <c r="M118" s="4" t="s">
        <v>265</v>
      </c>
      <c r="N118" s="4" t="s">
        <v>266</v>
      </c>
      <c r="O118" s="4">
        <v>5.6</v>
      </c>
      <c r="P118" s="4">
        <v>5.5</v>
      </c>
      <c r="Q118" s="4">
        <v>8.1</v>
      </c>
      <c r="R118" s="4">
        <v>8.8000000000000007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>
        <v>1316</v>
      </c>
      <c r="AF118" s="4">
        <v>76</v>
      </c>
      <c r="AG118" s="4">
        <v>58</v>
      </c>
      <c r="AH118" s="14" t="s">
        <v>577</v>
      </c>
    </row>
    <row r="119" spans="1:34" x14ac:dyDescent="0.3">
      <c r="A119" s="4" t="s">
        <v>33</v>
      </c>
      <c r="B119" s="4">
        <v>373</v>
      </c>
      <c r="C119" s="4" t="s">
        <v>46</v>
      </c>
      <c r="D119" s="5">
        <v>44256</v>
      </c>
      <c r="E119" s="6">
        <v>21.9</v>
      </c>
      <c r="F119" s="6" t="s">
        <v>44</v>
      </c>
      <c r="G119" s="6" t="s">
        <v>39</v>
      </c>
      <c r="H119" s="6">
        <v>62.3</v>
      </c>
      <c r="I119" s="6">
        <v>41.6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>
        <v>1544</v>
      </c>
      <c r="AF119" s="4">
        <v>60</v>
      </c>
      <c r="AG119" s="4">
        <v>102</v>
      </c>
    </row>
    <row r="120" spans="1:34" x14ac:dyDescent="0.3">
      <c r="A120" s="4" t="s">
        <v>33</v>
      </c>
      <c r="B120" s="4">
        <v>995</v>
      </c>
      <c r="C120" s="4" t="s">
        <v>302</v>
      </c>
      <c r="D120" s="4" t="s">
        <v>325</v>
      </c>
      <c r="E120" s="6">
        <v>40</v>
      </c>
      <c r="F120" s="6" t="s">
        <v>44</v>
      </c>
      <c r="G120" s="6" t="s">
        <v>39</v>
      </c>
      <c r="H120" s="6">
        <v>62.5</v>
      </c>
      <c r="I120" s="6">
        <v>41.8</v>
      </c>
      <c r="J120" s="4" t="s">
        <v>201</v>
      </c>
      <c r="K120" s="4">
        <v>7.91</v>
      </c>
      <c r="L120" s="4">
        <v>7.94</v>
      </c>
      <c r="M120" s="4" t="s">
        <v>357</v>
      </c>
      <c r="N120" s="4" t="s">
        <v>358</v>
      </c>
      <c r="O120" s="4" t="s">
        <v>201</v>
      </c>
      <c r="P120" s="4" t="s">
        <v>201</v>
      </c>
      <c r="Q120" s="4">
        <v>13.4</v>
      </c>
      <c r="R120" s="4">
        <v>12.5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>
        <v>1286</v>
      </c>
      <c r="AF120" s="4">
        <v>62</v>
      </c>
      <c r="AG120" s="4">
        <v>92</v>
      </c>
    </row>
    <row r="121" spans="1:34" x14ac:dyDescent="0.3">
      <c r="A121" s="4" t="s">
        <v>33</v>
      </c>
      <c r="B121" s="4">
        <v>999</v>
      </c>
      <c r="C121" s="4" t="s">
        <v>302</v>
      </c>
      <c r="D121" s="4" t="s">
        <v>325</v>
      </c>
      <c r="E121" s="6">
        <v>40</v>
      </c>
      <c r="F121" s="6" t="s">
        <v>44</v>
      </c>
      <c r="G121" s="6" t="s">
        <v>39</v>
      </c>
      <c r="H121" s="6">
        <v>63.4</v>
      </c>
      <c r="I121" s="6">
        <v>41.9</v>
      </c>
      <c r="J121" s="4" t="s">
        <v>201</v>
      </c>
      <c r="K121" s="4" t="s">
        <v>201</v>
      </c>
      <c r="L121" s="4" t="s">
        <v>201</v>
      </c>
      <c r="M121" s="4" t="s">
        <v>363</v>
      </c>
      <c r="N121" s="4" t="s">
        <v>364</v>
      </c>
      <c r="O121" s="4" t="s">
        <v>201</v>
      </c>
      <c r="P121" s="4" t="s">
        <v>201</v>
      </c>
      <c r="Q121" s="4" t="s">
        <v>201</v>
      </c>
      <c r="R121" s="4" t="s">
        <v>201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>
        <v>312</v>
      </c>
      <c r="AF121" s="4">
        <v>16</v>
      </c>
      <c r="AG121" s="4"/>
    </row>
    <row r="122" spans="1:34" x14ac:dyDescent="0.3">
      <c r="A122" s="4" t="s">
        <v>33</v>
      </c>
      <c r="B122" s="4">
        <v>327</v>
      </c>
      <c r="C122" s="4" t="s">
        <v>41</v>
      </c>
      <c r="D122" s="5" t="s">
        <v>42</v>
      </c>
      <c r="E122" s="6">
        <v>24</v>
      </c>
      <c r="F122" s="6" t="s">
        <v>44</v>
      </c>
      <c r="G122" s="6" t="s">
        <v>39</v>
      </c>
      <c r="H122" s="6">
        <v>66.599999999999994</v>
      </c>
      <c r="I122" s="6">
        <v>41.9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>
        <v>1315</v>
      </c>
      <c r="AF122" s="4">
        <v>56</v>
      </c>
      <c r="AG122" s="4"/>
      <c r="AH122" s="14" t="s">
        <v>541</v>
      </c>
    </row>
    <row r="123" spans="1:34" x14ac:dyDescent="0.3">
      <c r="A123" s="4" t="s">
        <v>33</v>
      </c>
      <c r="B123" s="4">
        <v>469</v>
      </c>
      <c r="C123" s="4" t="s">
        <v>43</v>
      </c>
      <c r="D123" s="5">
        <v>44336</v>
      </c>
      <c r="E123" s="6"/>
      <c r="F123" s="6" t="s">
        <v>44</v>
      </c>
      <c r="G123" s="6" t="s">
        <v>39</v>
      </c>
      <c r="H123" s="6">
        <v>67.599999999999994</v>
      </c>
      <c r="I123" s="6">
        <v>42</v>
      </c>
      <c r="J123" s="4">
        <v>1.9</v>
      </c>
      <c r="K123" s="4">
        <v>6.9</v>
      </c>
      <c r="L123" s="4">
        <v>7.3</v>
      </c>
      <c r="M123" s="4">
        <v>3.9</v>
      </c>
      <c r="N123" s="4">
        <v>3.9</v>
      </c>
      <c r="O123" s="4"/>
      <c r="P123" s="4"/>
      <c r="Q123" s="4">
        <v>7.5</v>
      </c>
      <c r="R123" s="4">
        <v>7.5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>
        <v>1306</v>
      </c>
      <c r="AF123" s="4">
        <v>70</v>
      </c>
      <c r="AG123" s="4">
        <v>26</v>
      </c>
    </row>
    <row r="124" spans="1:34" x14ac:dyDescent="0.3">
      <c r="A124" s="4" t="s">
        <v>33</v>
      </c>
      <c r="B124" s="4">
        <v>319</v>
      </c>
      <c r="C124" s="4" t="s">
        <v>41</v>
      </c>
      <c r="D124" s="5" t="s">
        <v>42</v>
      </c>
      <c r="E124" s="6">
        <v>24</v>
      </c>
      <c r="F124" s="6" t="s">
        <v>44</v>
      </c>
      <c r="G124" s="6" t="s">
        <v>39</v>
      </c>
      <c r="H124" s="6">
        <v>68</v>
      </c>
      <c r="I124" s="6">
        <v>42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>
        <v>1400</v>
      </c>
      <c r="AF124" s="4">
        <v>66</v>
      </c>
      <c r="AG124" s="4"/>
      <c r="AH124" s="14" t="s">
        <v>537</v>
      </c>
    </row>
    <row r="125" spans="1:34" x14ac:dyDescent="0.3">
      <c r="A125" s="4" t="s">
        <v>33</v>
      </c>
      <c r="B125" s="4">
        <v>1073</v>
      </c>
      <c r="C125" s="4" t="s">
        <v>302</v>
      </c>
      <c r="D125" s="8">
        <v>44835</v>
      </c>
      <c r="E125" s="6">
        <v>20</v>
      </c>
      <c r="F125" s="6" t="s">
        <v>44</v>
      </c>
      <c r="G125" s="6" t="s">
        <v>40</v>
      </c>
      <c r="H125" s="6">
        <v>65.900000000000006</v>
      </c>
      <c r="I125" s="6">
        <v>42.1</v>
      </c>
      <c r="J125" s="4">
        <v>2.11</v>
      </c>
      <c r="K125" s="4">
        <v>7.37</v>
      </c>
      <c r="L125" s="4">
        <v>7.45</v>
      </c>
      <c r="M125" s="4" t="s">
        <v>431</v>
      </c>
      <c r="N125" s="4" t="s">
        <v>432</v>
      </c>
      <c r="O125" s="4">
        <v>8.8000000000000007</v>
      </c>
      <c r="P125" s="4">
        <v>8.4600000000000009</v>
      </c>
      <c r="Q125" s="4" t="s">
        <v>201</v>
      </c>
      <c r="R125" s="4" t="s">
        <v>201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>
        <v>1518</v>
      </c>
      <c r="AF125" s="4">
        <v>50</v>
      </c>
      <c r="AG125" s="4">
        <v>90</v>
      </c>
    </row>
    <row r="126" spans="1:34" x14ac:dyDescent="0.3">
      <c r="A126" s="4" t="s">
        <v>33</v>
      </c>
      <c r="B126" s="4">
        <v>484</v>
      </c>
      <c r="C126" s="4" t="s">
        <v>43</v>
      </c>
      <c r="D126" s="5">
        <v>44336</v>
      </c>
      <c r="E126" s="6"/>
      <c r="F126" s="6" t="s">
        <v>44</v>
      </c>
      <c r="G126" s="6" t="s">
        <v>39</v>
      </c>
      <c r="H126" s="6">
        <v>62</v>
      </c>
      <c r="I126" s="6">
        <v>42.2</v>
      </c>
      <c r="J126" s="4"/>
      <c r="K126" s="4">
        <v>1.49</v>
      </c>
      <c r="L126" s="4">
        <v>1.5</v>
      </c>
      <c r="M126" s="4">
        <v>1.32</v>
      </c>
      <c r="N126" s="4">
        <v>1.36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>
        <v>594</v>
      </c>
      <c r="AF126" s="4">
        <v>42</v>
      </c>
      <c r="AG126" s="4">
        <v>6</v>
      </c>
    </row>
    <row r="127" spans="1:34" x14ac:dyDescent="0.3">
      <c r="A127" s="4" t="s">
        <v>33</v>
      </c>
      <c r="B127" s="4">
        <v>624</v>
      </c>
      <c r="C127" s="4" t="s">
        <v>43</v>
      </c>
      <c r="D127" s="5">
        <v>44403</v>
      </c>
      <c r="E127" s="6">
        <v>40</v>
      </c>
      <c r="F127" s="6" t="s">
        <v>44</v>
      </c>
      <c r="G127" s="6" t="s">
        <v>40</v>
      </c>
      <c r="H127" s="6">
        <v>61.5</v>
      </c>
      <c r="I127" s="6">
        <v>42.3</v>
      </c>
      <c r="J127" s="4">
        <v>1.83</v>
      </c>
      <c r="K127" s="4">
        <v>7.91</v>
      </c>
      <c r="L127" s="4">
        <v>7.61</v>
      </c>
      <c r="M127" s="4" t="s">
        <v>202</v>
      </c>
      <c r="N127" s="4" t="s">
        <v>203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 t="s">
        <v>201</v>
      </c>
      <c r="AF127" s="4" t="s">
        <v>201</v>
      </c>
      <c r="AG127" s="4" t="s">
        <v>201</v>
      </c>
    </row>
    <row r="128" spans="1:34" x14ac:dyDescent="0.3">
      <c r="A128" s="4" t="s">
        <v>33</v>
      </c>
      <c r="B128" s="4">
        <v>628</v>
      </c>
      <c r="C128" s="4" t="s">
        <v>43</v>
      </c>
      <c r="D128" s="5">
        <v>44403</v>
      </c>
      <c r="E128" s="6">
        <v>40</v>
      </c>
      <c r="F128" s="6" t="s">
        <v>44</v>
      </c>
      <c r="G128" s="6" t="s">
        <v>40</v>
      </c>
      <c r="H128" s="6">
        <v>60.5</v>
      </c>
      <c r="I128" s="6">
        <v>42.4</v>
      </c>
      <c r="J128" s="4">
        <v>2.15</v>
      </c>
      <c r="K128" s="4">
        <v>8.43</v>
      </c>
      <c r="L128" s="4">
        <v>8.6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 t="s">
        <v>201</v>
      </c>
      <c r="AF128" s="4" t="s">
        <v>201</v>
      </c>
      <c r="AG128" s="4" t="s">
        <v>201</v>
      </c>
    </row>
    <row r="129" spans="1:34" x14ac:dyDescent="0.3">
      <c r="A129" s="4" t="s">
        <v>33</v>
      </c>
      <c r="B129" s="4">
        <v>481</v>
      </c>
      <c r="C129" s="4" t="s">
        <v>43</v>
      </c>
      <c r="D129" s="5">
        <v>44336</v>
      </c>
      <c r="E129" s="6"/>
      <c r="F129" s="6" t="s">
        <v>44</v>
      </c>
      <c r="G129" s="6" t="s">
        <v>39</v>
      </c>
      <c r="H129" s="6">
        <v>59.1</v>
      </c>
      <c r="I129" s="6">
        <v>42.5</v>
      </c>
      <c r="J129" s="4"/>
      <c r="K129" s="4">
        <v>1.77</v>
      </c>
      <c r="L129" s="4">
        <v>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>
        <v>510</v>
      </c>
      <c r="AF129" s="4">
        <v>24</v>
      </c>
      <c r="AG129" s="4">
        <v>2</v>
      </c>
    </row>
    <row r="130" spans="1:34" x14ac:dyDescent="0.3">
      <c r="A130" s="4" t="s">
        <v>33</v>
      </c>
      <c r="B130" s="4">
        <v>340</v>
      </c>
      <c r="C130" s="4" t="s">
        <v>41</v>
      </c>
      <c r="D130" s="5" t="s">
        <v>42</v>
      </c>
      <c r="E130" s="6">
        <v>24</v>
      </c>
      <c r="F130" s="6" t="s">
        <v>44</v>
      </c>
      <c r="G130" s="6" t="s">
        <v>39</v>
      </c>
      <c r="H130" s="6">
        <v>61.4</v>
      </c>
      <c r="I130" s="6">
        <v>42.5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>
        <v>1300</v>
      </c>
      <c r="AF130" s="4">
        <v>72</v>
      </c>
      <c r="AG130" s="4"/>
      <c r="AH130" s="14" t="s">
        <v>517</v>
      </c>
    </row>
    <row r="131" spans="1:34" x14ac:dyDescent="0.3">
      <c r="A131" s="4" t="s">
        <v>33</v>
      </c>
      <c r="B131" s="4">
        <v>1103</v>
      </c>
      <c r="C131" s="4" t="s">
        <v>302</v>
      </c>
      <c r="D131" s="11" t="s">
        <v>447</v>
      </c>
      <c r="E131" s="13">
        <v>45207</v>
      </c>
      <c r="F131" s="6" t="s">
        <v>44</v>
      </c>
      <c r="G131" s="6" t="s">
        <v>39</v>
      </c>
      <c r="H131" s="6">
        <v>66</v>
      </c>
      <c r="I131" s="6">
        <v>42.5</v>
      </c>
      <c r="J131" s="4">
        <v>1.64</v>
      </c>
      <c r="K131" s="4">
        <v>8.18</v>
      </c>
      <c r="L131" s="4">
        <v>8.18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>
        <v>2094</v>
      </c>
      <c r="AF131" s="4">
        <v>74</v>
      </c>
      <c r="AG131" s="4">
        <v>124</v>
      </c>
    </row>
    <row r="132" spans="1:34" x14ac:dyDescent="0.3">
      <c r="A132" s="4" t="s">
        <v>33</v>
      </c>
      <c r="B132" s="4">
        <v>312</v>
      </c>
      <c r="C132" s="4" t="s">
        <v>41</v>
      </c>
      <c r="D132" s="5" t="s">
        <v>42</v>
      </c>
      <c r="E132" s="6">
        <v>24</v>
      </c>
      <c r="F132" s="6" t="s">
        <v>44</v>
      </c>
      <c r="G132" s="6" t="s">
        <v>39</v>
      </c>
      <c r="H132" s="6">
        <v>66.5</v>
      </c>
      <c r="I132" s="6">
        <v>42.5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>
        <v>1282</v>
      </c>
      <c r="AF132" s="4">
        <v>54</v>
      </c>
      <c r="AG132" s="4"/>
    </row>
    <row r="133" spans="1:34" x14ac:dyDescent="0.3">
      <c r="A133" s="4" t="s">
        <v>33</v>
      </c>
      <c r="B133" s="4">
        <v>198</v>
      </c>
      <c r="C133" s="4" t="s">
        <v>41</v>
      </c>
      <c r="D133" s="5" t="s">
        <v>42</v>
      </c>
      <c r="E133" s="6">
        <v>15</v>
      </c>
      <c r="F133" s="6" t="s">
        <v>44</v>
      </c>
      <c r="G133" s="6" t="s">
        <v>39</v>
      </c>
      <c r="H133" s="6">
        <v>54.3</v>
      </c>
      <c r="I133" s="6">
        <v>42.6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>
        <v>1456</v>
      </c>
      <c r="AF133" s="4">
        <v>62</v>
      </c>
      <c r="AG133" s="4"/>
    </row>
    <row r="134" spans="1:34" x14ac:dyDescent="0.3">
      <c r="A134" s="4" t="s">
        <v>33</v>
      </c>
      <c r="B134" s="4">
        <v>311</v>
      </c>
      <c r="C134" s="4" t="s">
        <v>41</v>
      </c>
      <c r="D134" s="5" t="s">
        <v>42</v>
      </c>
      <c r="E134" s="6">
        <v>24</v>
      </c>
      <c r="F134" s="6" t="s">
        <v>44</v>
      </c>
      <c r="G134" s="6" t="s">
        <v>39</v>
      </c>
      <c r="H134" s="6">
        <v>55</v>
      </c>
      <c r="I134" s="6">
        <v>42.6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>
        <v>1518</v>
      </c>
      <c r="AF134" s="4">
        <v>52</v>
      </c>
      <c r="AG134" s="4"/>
      <c r="AH134" s="14" t="s">
        <v>517</v>
      </c>
    </row>
    <row r="135" spans="1:34" x14ac:dyDescent="0.3">
      <c r="A135" s="4" t="s">
        <v>33</v>
      </c>
      <c r="B135" s="4">
        <v>331</v>
      </c>
      <c r="C135" s="4" t="s">
        <v>41</v>
      </c>
      <c r="D135" s="5" t="s">
        <v>42</v>
      </c>
      <c r="E135" s="6">
        <v>24</v>
      </c>
      <c r="F135" s="6" t="s">
        <v>44</v>
      </c>
      <c r="G135" s="6" t="s">
        <v>40</v>
      </c>
      <c r="H135" s="6">
        <v>62.4</v>
      </c>
      <c r="I135" s="6">
        <v>42.6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>
        <v>1770</v>
      </c>
      <c r="AF135" s="4">
        <v>94</v>
      </c>
      <c r="AG135" s="4"/>
      <c r="AH135" s="14" t="s">
        <v>517</v>
      </c>
    </row>
    <row r="136" spans="1:34" x14ac:dyDescent="0.3">
      <c r="A136" s="4" t="s">
        <v>33</v>
      </c>
      <c r="B136" s="4">
        <v>315</v>
      </c>
      <c r="C136" s="4" t="s">
        <v>41</v>
      </c>
      <c r="D136" s="5" t="s">
        <v>42</v>
      </c>
      <c r="E136" s="6">
        <v>24</v>
      </c>
      <c r="F136" s="6" t="s">
        <v>44</v>
      </c>
      <c r="G136" s="6" t="s">
        <v>39</v>
      </c>
      <c r="H136" s="6">
        <v>63</v>
      </c>
      <c r="I136" s="6">
        <v>42.6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>
        <v>2012</v>
      </c>
      <c r="AF136" s="4">
        <v>14</v>
      </c>
      <c r="AG136" s="4"/>
    </row>
    <row r="137" spans="1:34" x14ac:dyDescent="0.3">
      <c r="A137" s="4" t="s">
        <v>33</v>
      </c>
      <c r="B137" s="4">
        <v>981</v>
      </c>
      <c r="C137" s="4" t="s">
        <v>302</v>
      </c>
      <c r="D137" s="4" t="s">
        <v>325</v>
      </c>
      <c r="E137" s="6">
        <v>40</v>
      </c>
      <c r="F137" s="6" t="s">
        <v>44</v>
      </c>
      <c r="G137" s="6" t="s">
        <v>39</v>
      </c>
      <c r="H137" s="6">
        <v>64.8</v>
      </c>
      <c r="I137" s="6">
        <v>42.6</v>
      </c>
      <c r="J137" s="4">
        <v>2.04</v>
      </c>
      <c r="K137" s="4">
        <v>8.5399999999999991</v>
      </c>
      <c r="L137" s="4">
        <v>8.8699999999999992</v>
      </c>
      <c r="M137" s="4" t="s">
        <v>331</v>
      </c>
      <c r="N137" s="4" t="s">
        <v>332</v>
      </c>
      <c r="O137" s="4">
        <v>9.14</v>
      </c>
      <c r="P137" s="4">
        <v>8.9499999999999993</v>
      </c>
      <c r="Q137" s="4">
        <v>9.52</v>
      </c>
      <c r="R137" s="4">
        <v>8.5399999999999991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>
        <v>1444</v>
      </c>
      <c r="AF137" s="4">
        <v>70</v>
      </c>
      <c r="AG137" s="4">
        <v>94</v>
      </c>
    </row>
    <row r="138" spans="1:34" x14ac:dyDescent="0.3">
      <c r="A138" s="4" t="s">
        <v>33</v>
      </c>
      <c r="B138" s="4">
        <v>365</v>
      </c>
      <c r="C138" s="4" t="s">
        <v>46</v>
      </c>
      <c r="D138" s="5">
        <v>44256</v>
      </c>
      <c r="E138" s="6">
        <v>21.9</v>
      </c>
      <c r="F138" s="6" t="s">
        <v>44</v>
      </c>
      <c r="G138" s="6" t="s">
        <v>40</v>
      </c>
      <c r="H138" s="6">
        <v>66.8</v>
      </c>
      <c r="I138" s="6">
        <v>42.6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>
        <v>986</v>
      </c>
      <c r="AF138" s="4">
        <v>36</v>
      </c>
      <c r="AG138" s="4">
        <v>52</v>
      </c>
      <c r="AH138" s="14" t="s">
        <v>544</v>
      </c>
    </row>
    <row r="139" spans="1:34" x14ac:dyDescent="0.3">
      <c r="A139" s="4" t="s">
        <v>33</v>
      </c>
      <c r="B139" s="4">
        <v>264</v>
      </c>
      <c r="C139" s="4" t="s">
        <v>43</v>
      </c>
      <c r="D139" s="5" t="s">
        <v>42</v>
      </c>
      <c r="E139" s="6">
        <v>24</v>
      </c>
      <c r="F139" s="6" t="s">
        <v>44</v>
      </c>
      <c r="G139" s="6" t="s">
        <v>39</v>
      </c>
      <c r="H139" s="6">
        <v>60.2</v>
      </c>
      <c r="I139" s="6">
        <v>42.7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>
        <v>518</v>
      </c>
      <c r="AF139" s="4"/>
      <c r="AG139" s="4"/>
      <c r="AH139" s="14" t="s">
        <v>535</v>
      </c>
    </row>
    <row r="140" spans="1:34" x14ac:dyDescent="0.3">
      <c r="A140" s="4" t="s">
        <v>33</v>
      </c>
      <c r="B140" s="4">
        <v>1101</v>
      </c>
      <c r="C140" s="4" t="s">
        <v>302</v>
      </c>
      <c r="D140" s="11" t="s">
        <v>447</v>
      </c>
      <c r="E140" s="13">
        <v>45207</v>
      </c>
      <c r="F140" s="6" t="s">
        <v>44</v>
      </c>
      <c r="G140" s="6" t="s">
        <v>40</v>
      </c>
      <c r="H140" s="6">
        <v>63</v>
      </c>
      <c r="I140" s="6">
        <v>42.7</v>
      </c>
      <c r="J140" s="4">
        <v>2.4</v>
      </c>
      <c r="K140" s="4">
        <v>9</v>
      </c>
      <c r="L140" s="4">
        <v>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>
        <v>1056</v>
      </c>
      <c r="AF140" s="4">
        <v>14</v>
      </c>
      <c r="AG140" s="4"/>
    </row>
    <row r="141" spans="1:34" x14ac:dyDescent="0.3">
      <c r="A141" s="4" t="s">
        <v>33</v>
      </c>
      <c r="B141" s="4">
        <v>845</v>
      </c>
      <c r="C141" s="4" t="s">
        <v>303</v>
      </c>
      <c r="D141" s="9">
        <v>44480</v>
      </c>
      <c r="E141" s="6">
        <v>40</v>
      </c>
      <c r="F141" s="6" t="s">
        <v>44</v>
      </c>
      <c r="G141" s="6" t="s">
        <v>39</v>
      </c>
      <c r="H141" s="6">
        <v>64.2</v>
      </c>
      <c r="I141" s="6">
        <v>42.7</v>
      </c>
      <c r="J141" s="4">
        <v>2.04</v>
      </c>
      <c r="K141" s="4">
        <v>8.14</v>
      </c>
      <c r="L141" s="4">
        <v>8.23</v>
      </c>
      <c r="M141" s="4" t="s">
        <v>308</v>
      </c>
      <c r="N141" s="4" t="s">
        <v>309</v>
      </c>
      <c r="O141" s="4">
        <v>9.83</v>
      </c>
      <c r="P141" s="4">
        <v>9.25</v>
      </c>
      <c r="Q141" s="4">
        <v>10.56</v>
      </c>
      <c r="R141" s="4">
        <v>10.53</v>
      </c>
      <c r="S141" s="4"/>
      <c r="T141" s="4"/>
      <c r="U141" s="4"/>
      <c r="V141" s="4"/>
      <c r="W141" s="4" t="s">
        <v>201</v>
      </c>
      <c r="X141" s="4" t="s">
        <v>201</v>
      </c>
      <c r="Y141" s="4" t="s">
        <v>201</v>
      </c>
      <c r="Z141" s="4" t="s">
        <v>201</v>
      </c>
      <c r="AA141" s="4"/>
      <c r="AB141" s="4"/>
      <c r="AC141" s="4"/>
      <c r="AD141" s="4"/>
      <c r="AE141" s="4">
        <v>2052</v>
      </c>
      <c r="AF141" s="4">
        <v>84</v>
      </c>
      <c r="AG141" s="4">
        <v>152</v>
      </c>
    </row>
    <row r="142" spans="1:34" x14ac:dyDescent="0.3">
      <c r="A142" s="4" t="s">
        <v>33</v>
      </c>
      <c r="B142" s="4">
        <v>260</v>
      </c>
      <c r="C142" s="4" t="s">
        <v>43</v>
      </c>
      <c r="D142" s="5" t="s">
        <v>42</v>
      </c>
      <c r="E142" s="6">
        <v>15</v>
      </c>
      <c r="F142" s="6" t="s">
        <v>44</v>
      </c>
      <c r="G142" s="6" t="s">
        <v>39</v>
      </c>
      <c r="H142" s="6">
        <v>66.3</v>
      </c>
      <c r="I142" s="6">
        <v>42.7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>
        <v>1660</v>
      </c>
      <c r="AF142" s="4">
        <v>96</v>
      </c>
      <c r="AG142" s="4">
        <v>86</v>
      </c>
      <c r="AH142" s="14" t="s">
        <v>517</v>
      </c>
    </row>
    <row r="143" spans="1:34" x14ac:dyDescent="0.3">
      <c r="A143" s="4" t="s">
        <v>33</v>
      </c>
      <c r="B143" s="4">
        <v>234</v>
      </c>
      <c r="C143" s="4" t="s">
        <v>43</v>
      </c>
      <c r="D143" s="5" t="s">
        <v>42</v>
      </c>
      <c r="E143" s="6">
        <v>15</v>
      </c>
      <c r="F143" s="6" t="s">
        <v>44</v>
      </c>
      <c r="G143" s="6" t="s">
        <v>39</v>
      </c>
      <c r="H143" s="6">
        <v>66.599999999999994</v>
      </c>
      <c r="I143" s="6">
        <v>42.7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>
        <v>1384</v>
      </c>
      <c r="AF143" s="4">
        <v>68</v>
      </c>
      <c r="AG143" s="4">
        <v>62</v>
      </c>
      <c r="AH143" t="s">
        <v>516</v>
      </c>
    </row>
    <row r="144" spans="1:34" x14ac:dyDescent="0.3">
      <c r="A144" s="4" t="s">
        <v>33</v>
      </c>
      <c r="B144" s="4">
        <v>584</v>
      </c>
      <c r="C144" s="4" t="s">
        <v>43</v>
      </c>
      <c r="D144" s="5">
        <v>44361</v>
      </c>
      <c r="E144" s="6"/>
      <c r="F144" s="6" t="s">
        <v>44</v>
      </c>
      <c r="G144" s="6" t="s">
        <v>39</v>
      </c>
      <c r="H144" s="6">
        <v>65.5</v>
      </c>
      <c r="I144" s="6">
        <v>42.8</v>
      </c>
      <c r="J144" s="4">
        <v>2</v>
      </c>
      <c r="K144" s="4">
        <v>7.64</v>
      </c>
      <c r="L144" s="4">
        <v>7.64</v>
      </c>
      <c r="M144" s="4" t="s">
        <v>158</v>
      </c>
      <c r="N144" s="4" t="s">
        <v>159</v>
      </c>
      <c r="O144" s="4" t="s">
        <v>160</v>
      </c>
      <c r="P144" s="4" t="s">
        <v>160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>
        <v>1708</v>
      </c>
      <c r="AF144" s="4">
        <v>84</v>
      </c>
      <c r="AG144" s="4">
        <v>122</v>
      </c>
      <c r="AH144" s="14" t="s">
        <v>517</v>
      </c>
    </row>
    <row r="145" spans="1:34" x14ac:dyDescent="0.3">
      <c r="A145" s="4" t="s">
        <v>33</v>
      </c>
      <c r="B145" s="4">
        <v>993</v>
      </c>
      <c r="C145" s="4" t="s">
        <v>302</v>
      </c>
      <c r="D145" s="4" t="s">
        <v>325</v>
      </c>
      <c r="E145" s="6">
        <v>40</v>
      </c>
      <c r="F145" s="6" t="s">
        <v>44</v>
      </c>
      <c r="G145" s="6" t="s">
        <v>40</v>
      </c>
      <c r="H145" s="6">
        <v>64.8</v>
      </c>
      <c r="I145" s="6">
        <v>42.9</v>
      </c>
      <c r="J145" s="4">
        <v>1.62</v>
      </c>
      <c r="K145" s="4">
        <v>7.78</v>
      </c>
      <c r="L145" s="4">
        <v>7.47</v>
      </c>
      <c r="M145" s="4" t="s">
        <v>353</v>
      </c>
      <c r="N145" s="4" t="s">
        <v>354</v>
      </c>
      <c r="O145" s="4">
        <v>8.64</v>
      </c>
      <c r="P145" s="4">
        <v>8.99</v>
      </c>
      <c r="Q145" s="4">
        <v>9.7799999999999994</v>
      </c>
      <c r="R145" s="4">
        <v>10.51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>
        <v>1468</v>
      </c>
      <c r="AF145" s="4">
        <v>70</v>
      </c>
      <c r="AG145" s="4">
        <v>84</v>
      </c>
    </row>
    <row r="146" spans="1:34" x14ac:dyDescent="0.3">
      <c r="A146" s="4" t="s">
        <v>33</v>
      </c>
      <c r="B146" s="4">
        <v>1071</v>
      </c>
      <c r="C146" s="4" t="s">
        <v>302</v>
      </c>
      <c r="D146" s="8">
        <v>44835</v>
      </c>
      <c r="E146" s="6">
        <v>20</v>
      </c>
      <c r="F146" s="6" t="s">
        <v>44</v>
      </c>
      <c r="G146" s="6" t="s">
        <v>39</v>
      </c>
      <c r="H146" s="6">
        <v>68.8</v>
      </c>
      <c r="I146" s="6">
        <v>42.9</v>
      </c>
      <c r="J146" s="4">
        <v>2.08</v>
      </c>
      <c r="K146" s="4">
        <v>7.8</v>
      </c>
      <c r="L146" s="4">
        <v>8.33</v>
      </c>
      <c r="M146" s="4" t="s">
        <v>427</v>
      </c>
      <c r="N146" s="4" t="s">
        <v>428</v>
      </c>
      <c r="O146" s="4">
        <v>6.7</v>
      </c>
      <c r="P146" s="4">
        <v>6.6</v>
      </c>
      <c r="Q146" s="4" t="s">
        <v>201</v>
      </c>
      <c r="R146" s="4" t="s">
        <v>201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>
        <v>1284</v>
      </c>
      <c r="AF146" s="4">
        <v>58</v>
      </c>
      <c r="AG146" s="4">
        <v>76</v>
      </c>
    </row>
    <row r="147" spans="1:34" x14ac:dyDescent="0.3">
      <c r="A147" s="4" t="s">
        <v>33</v>
      </c>
      <c r="B147" s="4">
        <v>323</v>
      </c>
      <c r="C147" s="4" t="s">
        <v>41</v>
      </c>
      <c r="D147" s="5" t="s">
        <v>42</v>
      </c>
      <c r="E147" s="6">
        <v>24</v>
      </c>
      <c r="F147" s="6" t="s">
        <v>44</v>
      </c>
      <c r="G147" s="6" t="s">
        <v>39</v>
      </c>
      <c r="H147" s="6">
        <v>66</v>
      </c>
      <c r="I147" s="6">
        <v>43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>
        <v>1450</v>
      </c>
      <c r="AF147" s="4">
        <v>68</v>
      </c>
      <c r="AG147" s="4"/>
      <c r="AH147" s="14" t="s">
        <v>517</v>
      </c>
    </row>
    <row r="148" spans="1:34" x14ac:dyDescent="0.3">
      <c r="A148" s="4" t="s">
        <v>33</v>
      </c>
      <c r="B148" s="4">
        <v>335</v>
      </c>
      <c r="C148" s="4" t="s">
        <v>41</v>
      </c>
      <c r="D148" s="5" t="s">
        <v>42</v>
      </c>
      <c r="E148" s="6">
        <v>24</v>
      </c>
      <c r="F148" s="6" t="s">
        <v>44</v>
      </c>
      <c r="G148" s="6" t="s">
        <v>39</v>
      </c>
      <c r="H148" s="6">
        <v>64.5</v>
      </c>
      <c r="I148" s="6">
        <v>43.2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>
        <v>1378</v>
      </c>
      <c r="AF148" s="4">
        <v>46</v>
      </c>
      <c r="AG148" s="4"/>
      <c r="AH148" s="14" t="s">
        <v>517</v>
      </c>
    </row>
    <row r="149" spans="1:34" x14ac:dyDescent="0.3">
      <c r="A149" s="4" t="s">
        <v>33</v>
      </c>
      <c r="B149" s="4">
        <v>667</v>
      </c>
      <c r="C149" s="4" t="s">
        <v>43</v>
      </c>
      <c r="D149" s="5">
        <v>44438</v>
      </c>
      <c r="E149" s="6">
        <v>40</v>
      </c>
      <c r="F149" s="6" t="s">
        <v>44</v>
      </c>
      <c r="G149" s="6" t="s">
        <v>39</v>
      </c>
      <c r="H149" s="6">
        <v>64.599999999999994</v>
      </c>
      <c r="I149" s="6">
        <v>43.2</v>
      </c>
      <c r="J149" s="4">
        <v>2.5</v>
      </c>
      <c r="K149" s="4">
        <v>7.6</v>
      </c>
      <c r="L149" s="4">
        <v>7.5</v>
      </c>
      <c r="M149" s="4">
        <v>6.81</v>
      </c>
      <c r="N149" s="4">
        <v>7.1</v>
      </c>
      <c r="O149" s="4">
        <v>6.86</v>
      </c>
      <c r="P149" s="4">
        <v>6.59</v>
      </c>
      <c r="Q149" s="4">
        <v>9.85</v>
      </c>
      <c r="R149" s="4">
        <v>9.5299999999999994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>
        <v>1474</v>
      </c>
      <c r="AF149" s="4">
        <v>66</v>
      </c>
      <c r="AG149" s="4">
        <v>130</v>
      </c>
      <c r="AH149" s="14" t="s">
        <v>577</v>
      </c>
    </row>
    <row r="150" spans="1:34" x14ac:dyDescent="0.3">
      <c r="A150" s="4" t="s">
        <v>33</v>
      </c>
      <c r="B150" s="4">
        <v>1067</v>
      </c>
      <c r="C150" s="4" t="s">
        <v>302</v>
      </c>
      <c r="D150" s="8">
        <v>44835</v>
      </c>
      <c r="E150" s="6">
        <v>20</v>
      </c>
      <c r="F150" s="6" t="s">
        <v>44</v>
      </c>
      <c r="G150" s="6" t="s">
        <v>39</v>
      </c>
      <c r="H150" s="6">
        <v>67.7</v>
      </c>
      <c r="I150" s="6">
        <v>43.2</v>
      </c>
      <c r="J150" s="4">
        <v>1.54</v>
      </c>
      <c r="K150" s="4">
        <v>6.2</v>
      </c>
      <c r="L150" s="4">
        <v>6.4</v>
      </c>
      <c r="M150" s="4" t="s">
        <v>420</v>
      </c>
      <c r="N150" s="4" t="s">
        <v>421</v>
      </c>
      <c r="O150" s="4">
        <v>11.2</v>
      </c>
      <c r="P150" s="4">
        <v>10.7</v>
      </c>
      <c r="Q150" s="4" t="s">
        <v>201</v>
      </c>
      <c r="R150" s="4" t="s">
        <v>201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>
        <v>1568</v>
      </c>
      <c r="AF150" s="4">
        <v>44</v>
      </c>
      <c r="AG150" s="4">
        <v>110</v>
      </c>
    </row>
    <row r="151" spans="1:34" x14ac:dyDescent="0.3">
      <c r="A151" s="4" t="s">
        <v>33</v>
      </c>
      <c r="B151" s="4">
        <v>856</v>
      </c>
      <c r="C151" s="4" t="s">
        <v>303</v>
      </c>
      <c r="D151" s="5">
        <v>44480</v>
      </c>
      <c r="E151" s="6">
        <v>40</v>
      </c>
      <c r="F151" s="6" t="s">
        <v>44</v>
      </c>
      <c r="G151" s="6" t="s">
        <v>39</v>
      </c>
      <c r="H151" s="6">
        <v>66.900000000000006</v>
      </c>
      <c r="I151" s="6">
        <v>43.3</v>
      </c>
      <c r="J151" s="4">
        <v>1.4</v>
      </c>
      <c r="K151" s="4">
        <v>7.68</v>
      </c>
      <c r="L151" s="4">
        <v>8</v>
      </c>
      <c r="M151" s="4" t="s">
        <v>201</v>
      </c>
      <c r="N151" s="4"/>
      <c r="O151" s="4"/>
      <c r="P151" s="4"/>
      <c r="Q151" s="4"/>
      <c r="R151" s="4"/>
      <c r="S151" s="4"/>
      <c r="T151" s="4"/>
      <c r="U151" s="4"/>
      <c r="V151" s="4"/>
      <c r="W151" s="4" t="s">
        <v>201</v>
      </c>
      <c r="X151" s="4" t="s">
        <v>201</v>
      </c>
      <c r="Y151" s="4" t="s">
        <v>201</v>
      </c>
      <c r="Z151" s="4" t="s">
        <v>201</v>
      </c>
      <c r="AA151" s="4"/>
      <c r="AB151" s="4"/>
      <c r="AC151" s="4"/>
      <c r="AD151" s="4"/>
      <c r="AE151" s="4">
        <v>1678</v>
      </c>
      <c r="AF151" s="4">
        <v>60</v>
      </c>
      <c r="AG151" s="4">
        <v>116</v>
      </c>
    </row>
    <row r="152" spans="1:34" x14ac:dyDescent="0.3">
      <c r="A152" s="4" t="s">
        <v>33</v>
      </c>
      <c r="B152" s="4">
        <v>268</v>
      </c>
      <c r="C152" s="4" t="s">
        <v>36</v>
      </c>
      <c r="D152" s="4" t="s">
        <v>42</v>
      </c>
      <c r="E152" s="6">
        <v>24</v>
      </c>
      <c r="F152" s="6" t="s">
        <v>44</v>
      </c>
      <c r="G152" s="6" t="s">
        <v>39</v>
      </c>
      <c r="H152" s="6">
        <v>70.099999999999994</v>
      </c>
      <c r="I152" s="6">
        <v>43.3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>
        <v>1760</v>
      </c>
      <c r="AF152" s="4"/>
      <c r="AG152" s="4"/>
    </row>
    <row r="153" spans="1:34" x14ac:dyDescent="0.3">
      <c r="A153" s="4" t="s">
        <v>33</v>
      </c>
      <c r="B153" s="4">
        <v>220</v>
      </c>
      <c r="C153" s="4" t="s">
        <v>43</v>
      </c>
      <c r="D153" s="5" t="s">
        <v>42</v>
      </c>
      <c r="E153" s="6">
        <v>15</v>
      </c>
      <c r="F153" s="6" t="s">
        <v>44</v>
      </c>
      <c r="G153" s="6" t="s">
        <v>40</v>
      </c>
      <c r="H153" s="6">
        <v>60.8</v>
      </c>
      <c r="I153" s="6">
        <v>43.4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>
        <v>1224</v>
      </c>
      <c r="AF153" s="4"/>
      <c r="AG153" s="4"/>
    </row>
    <row r="154" spans="1:34" x14ac:dyDescent="0.3">
      <c r="A154" s="4" t="s">
        <v>33</v>
      </c>
      <c r="B154" s="4">
        <v>625</v>
      </c>
      <c r="C154" s="4" t="s">
        <v>43</v>
      </c>
      <c r="D154" s="5">
        <v>44403</v>
      </c>
      <c r="E154" s="6">
        <v>40</v>
      </c>
      <c r="F154" s="6" t="s">
        <v>44</v>
      </c>
      <c r="G154" s="6" t="s">
        <v>40</v>
      </c>
      <c r="H154" s="6">
        <v>61.2</v>
      </c>
      <c r="I154" s="6">
        <v>43.4</v>
      </c>
      <c r="J154" s="4"/>
      <c r="K154" s="4">
        <v>7.26</v>
      </c>
      <c r="L154" s="4">
        <v>7.28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>
        <v>1076</v>
      </c>
      <c r="AF154" s="4" t="s">
        <v>201</v>
      </c>
      <c r="AG154" s="4" t="s">
        <v>201</v>
      </c>
      <c r="AH154" s="14" t="s">
        <v>570</v>
      </c>
    </row>
    <row r="155" spans="1:34" x14ac:dyDescent="0.3">
      <c r="A155" s="4" t="s">
        <v>33</v>
      </c>
      <c r="B155" s="4">
        <v>363</v>
      </c>
      <c r="C155" s="4" t="s">
        <v>46</v>
      </c>
      <c r="D155" s="5">
        <v>44256</v>
      </c>
      <c r="E155" s="6">
        <v>21.9</v>
      </c>
      <c r="F155" s="6" t="s">
        <v>44</v>
      </c>
      <c r="G155" s="6" t="s">
        <v>40</v>
      </c>
      <c r="H155" s="6">
        <v>63.4</v>
      </c>
      <c r="I155" s="6">
        <v>43.4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>
        <v>1528</v>
      </c>
      <c r="AF155" s="4">
        <v>68</v>
      </c>
      <c r="AG155" s="4">
        <v>90</v>
      </c>
    </row>
    <row r="156" spans="1:34" x14ac:dyDescent="0.3">
      <c r="A156" s="4" t="s">
        <v>33</v>
      </c>
      <c r="B156" s="4">
        <v>1040</v>
      </c>
      <c r="C156" s="4" t="s">
        <v>302</v>
      </c>
      <c r="D156" s="4" t="s">
        <v>325</v>
      </c>
      <c r="E156" s="6">
        <v>40</v>
      </c>
      <c r="F156" s="6" t="s">
        <v>44</v>
      </c>
      <c r="G156" s="6" t="s">
        <v>39</v>
      </c>
      <c r="H156" s="6">
        <v>66.400000000000006</v>
      </c>
      <c r="I156" s="6">
        <v>43.4</v>
      </c>
      <c r="J156" s="4">
        <v>2.04</v>
      </c>
      <c r="K156" s="4">
        <v>8.4600000000000009</v>
      </c>
      <c r="L156" s="4">
        <v>8.1999999999999993</v>
      </c>
      <c r="M156" s="4" t="s">
        <v>410</v>
      </c>
      <c r="N156" s="4" t="s">
        <v>411</v>
      </c>
      <c r="O156" s="4">
        <v>8.83</v>
      </c>
      <c r="P156" s="4">
        <v>8.83</v>
      </c>
      <c r="Q156" s="4">
        <v>8.86</v>
      </c>
      <c r="R156" s="4">
        <v>9.41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>
        <v>1318</v>
      </c>
      <c r="AF156" s="4">
        <v>30</v>
      </c>
      <c r="AG156" s="4">
        <v>72</v>
      </c>
    </row>
    <row r="157" spans="1:34" x14ac:dyDescent="0.3">
      <c r="A157" s="4" t="s">
        <v>33</v>
      </c>
      <c r="B157" s="4">
        <v>687</v>
      </c>
      <c r="C157" s="4" t="s">
        <v>43</v>
      </c>
      <c r="D157" s="5">
        <v>44438</v>
      </c>
      <c r="E157" s="6">
        <v>20</v>
      </c>
      <c r="F157" s="6" t="s">
        <v>44</v>
      </c>
      <c r="G157" s="6" t="s">
        <v>39</v>
      </c>
      <c r="H157" s="6">
        <v>54.3</v>
      </c>
      <c r="I157" s="6">
        <v>43.5</v>
      </c>
      <c r="J157" s="4">
        <v>1.4</v>
      </c>
      <c r="K157" s="4">
        <v>8.1999999999999993</v>
      </c>
      <c r="L157" s="4">
        <v>8.0299999999999994</v>
      </c>
      <c r="M157" s="4">
        <v>6.5</v>
      </c>
      <c r="N157" s="4">
        <v>5.7</v>
      </c>
      <c r="O157" s="4">
        <v>7.24</v>
      </c>
      <c r="P157" s="4">
        <v>6.44</v>
      </c>
      <c r="Q157" s="4">
        <v>9.9</v>
      </c>
      <c r="R157" s="4">
        <v>10.199999999999999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>
        <v>1946</v>
      </c>
      <c r="AF157" s="4">
        <v>104</v>
      </c>
      <c r="AG157" s="4">
        <v>144</v>
      </c>
    </row>
    <row r="158" spans="1:34" x14ac:dyDescent="0.3">
      <c r="A158" s="4" t="s">
        <v>33</v>
      </c>
      <c r="B158" s="4">
        <v>212</v>
      </c>
      <c r="C158" s="4" t="s">
        <v>43</v>
      </c>
      <c r="D158" s="5" t="s">
        <v>42</v>
      </c>
      <c r="E158" s="6">
        <v>15</v>
      </c>
      <c r="F158" s="6" t="s">
        <v>44</v>
      </c>
      <c r="G158" s="6" t="s">
        <v>39</v>
      </c>
      <c r="H158" s="6">
        <v>64.5</v>
      </c>
      <c r="I158" s="6">
        <v>43.5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>
        <v>1668</v>
      </c>
      <c r="AF158" s="4"/>
      <c r="AG158" s="4"/>
      <c r="AH158" t="s">
        <v>516</v>
      </c>
    </row>
    <row r="159" spans="1:34" x14ac:dyDescent="0.3">
      <c r="A159" s="4" t="s">
        <v>33</v>
      </c>
      <c r="B159" s="4">
        <v>305</v>
      </c>
      <c r="C159" s="4" t="s">
        <v>43</v>
      </c>
      <c r="D159" s="5" t="s">
        <v>42</v>
      </c>
      <c r="E159" s="6">
        <v>24</v>
      </c>
      <c r="F159" s="6" t="s">
        <v>44</v>
      </c>
      <c r="G159" s="6" t="s">
        <v>39</v>
      </c>
      <c r="H159" s="6">
        <v>65.400000000000006</v>
      </c>
      <c r="I159" s="6">
        <v>43.5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>
        <v>1480</v>
      </c>
      <c r="AF159" s="4">
        <v>106</v>
      </c>
      <c r="AG159" s="4"/>
      <c r="AH159" s="14" t="s">
        <v>517</v>
      </c>
    </row>
    <row r="160" spans="1:34" x14ac:dyDescent="0.3">
      <c r="A160" s="4" t="s">
        <v>33</v>
      </c>
      <c r="B160" s="4">
        <v>1016</v>
      </c>
      <c r="C160" s="4" t="s">
        <v>302</v>
      </c>
      <c r="D160" s="4" t="s">
        <v>325</v>
      </c>
      <c r="E160" s="6">
        <v>40</v>
      </c>
      <c r="F160" s="6" t="s">
        <v>44</v>
      </c>
      <c r="G160" s="6" t="s">
        <v>39</v>
      </c>
      <c r="H160" s="6">
        <v>65.900000000000006</v>
      </c>
      <c r="I160" s="6">
        <v>43.5</v>
      </c>
      <c r="J160" s="4" t="s">
        <v>201</v>
      </c>
      <c r="K160" s="4">
        <v>10.07</v>
      </c>
      <c r="L160" s="4">
        <v>9.4499999999999993</v>
      </c>
      <c r="M160" s="4" t="s">
        <v>380</v>
      </c>
      <c r="N160" s="4" t="s">
        <v>381</v>
      </c>
      <c r="O160" s="4">
        <v>10.7</v>
      </c>
      <c r="P160" s="4">
        <v>9.92</v>
      </c>
      <c r="Q160" s="4" t="s">
        <v>201</v>
      </c>
      <c r="R160" s="4" t="s">
        <v>201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>
        <v>1396</v>
      </c>
      <c r="AF160" s="4"/>
      <c r="AG160" s="4"/>
    </row>
    <row r="161" spans="1:34" x14ac:dyDescent="0.3">
      <c r="A161" s="4" t="s">
        <v>33</v>
      </c>
      <c r="B161" s="4">
        <v>209</v>
      </c>
      <c r="C161" s="4" t="s">
        <v>43</v>
      </c>
      <c r="D161" s="5" t="s">
        <v>42</v>
      </c>
      <c r="E161" s="6">
        <v>15</v>
      </c>
      <c r="F161" s="6" t="s">
        <v>44</v>
      </c>
      <c r="G161" s="6" t="s">
        <v>39</v>
      </c>
      <c r="H161" s="6">
        <v>66</v>
      </c>
      <c r="I161" s="6">
        <v>43.5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>
        <v>1612</v>
      </c>
      <c r="AF161" s="4">
        <v>54</v>
      </c>
      <c r="AG161" s="4">
        <v>100</v>
      </c>
    </row>
    <row r="162" spans="1:34" x14ac:dyDescent="0.3">
      <c r="A162" s="4" t="s">
        <v>33</v>
      </c>
      <c r="B162" s="4">
        <v>297</v>
      </c>
      <c r="C162" s="4" t="s">
        <v>43</v>
      </c>
      <c r="D162" s="5" t="s">
        <v>42</v>
      </c>
      <c r="E162" s="6">
        <v>24</v>
      </c>
      <c r="F162" s="6" t="s">
        <v>44</v>
      </c>
      <c r="G162" s="6" t="s">
        <v>39</v>
      </c>
      <c r="H162" s="6">
        <v>66</v>
      </c>
      <c r="I162" s="6">
        <v>43.5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>
        <v>1488</v>
      </c>
      <c r="AF162" s="4">
        <v>80</v>
      </c>
      <c r="AG162" s="4"/>
      <c r="AH162" s="14" t="s">
        <v>537</v>
      </c>
    </row>
    <row r="163" spans="1:34" x14ac:dyDescent="0.3">
      <c r="A163" s="4" t="s">
        <v>33</v>
      </c>
      <c r="B163" s="4">
        <v>334</v>
      </c>
      <c r="C163" s="4" t="s">
        <v>41</v>
      </c>
      <c r="D163" s="5" t="s">
        <v>42</v>
      </c>
      <c r="E163" s="6">
        <v>24</v>
      </c>
      <c r="F163" s="6" t="s">
        <v>44</v>
      </c>
      <c r="G163" s="6" t="s">
        <v>39</v>
      </c>
      <c r="H163" s="6">
        <v>66.7</v>
      </c>
      <c r="I163" s="6">
        <v>43.5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>
        <v>1656</v>
      </c>
      <c r="AF163" s="4"/>
      <c r="AG163" s="4"/>
    </row>
    <row r="164" spans="1:34" x14ac:dyDescent="0.3">
      <c r="A164" s="4" t="s">
        <v>33</v>
      </c>
      <c r="B164" s="4">
        <v>237</v>
      </c>
      <c r="C164" s="4" t="s">
        <v>43</v>
      </c>
      <c r="D164" s="5" t="s">
        <v>42</v>
      </c>
      <c r="E164" s="6">
        <v>15</v>
      </c>
      <c r="F164" s="6" t="s">
        <v>44</v>
      </c>
      <c r="G164" s="6" t="s">
        <v>40</v>
      </c>
      <c r="H164" s="6">
        <v>69.400000000000006</v>
      </c>
      <c r="I164" s="6">
        <v>43.5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>
        <v>1568</v>
      </c>
      <c r="AF164" s="4"/>
      <c r="AG164" s="4"/>
    </row>
    <row r="165" spans="1:34" x14ac:dyDescent="0.3">
      <c r="A165" s="4" t="s">
        <v>33</v>
      </c>
      <c r="B165" s="4">
        <v>374</v>
      </c>
      <c r="C165" s="4" t="s">
        <v>46</v>
      </c>
      <c r="D165" s="5">
        <v>44256</v>
      </c>
      <c r="E165" s="6">
        <v>21.9</v>
      </c>
      <c r="F165" s="6" t="s">
        <v>44</v>
      </c>
      <c r="G165" s="6" t="s">
        <v>39</v>
      </c>
      <c r="H165" s="6">
        <v>69.900000000000006</v>
      </c>
      <c r="I165" s="6">
        <v>43.5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>
        <v>1570</v>
      </c>
      <c r="AF165" s="4">
        <v>78</v>
      </c>
      <c r="AG165" s="4">
        <v>48</v>
      </c>
      <c r="AH165" s="14" t="s">
        <v>517</v>
      </c>
    </row>
    <row r="166" spans="1:34" x14ac:dyDescent="0.3">
      <c r="A166" s="4" t="s">
        <v>33</v>
      </c>
      <c r="B166" s="4">
        <v>528</v>
      </c>
      <c r="C166" s="4" t="s">
        <v>43</v>
      </c>
      <c r="D166" s="5">
        <v>44336</v>
      </c>
      <c r="E166" s="6"/>
      <c r="F166" s="6" t="s">
        <v>44</v>
      </c>
      <c r="G166" s="6" t="s">
        <v>39</v>
      </c>
      <c r="H166" s="6">
        <v>53.5</v>
      </c>
      <c r="I166" s="6">
        <v>43.6</v>
      </c>
      <c r="J166" s="4"/>
      <c r="K166" s="4">
        <v>1.4</v>
      </c>
      <c r="L166" s="4">
        <v>0.9</v>
      </c>
      <c r="M166" s="4" t="s">
        <v>118</v>
      </c>
      <c r="N166" s="4" t="s">
        <v>118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>
        <v>322</v>
      </c>
      <c r="AF166" s="4">
        <v>23</v>
      </c>
      <c r="AG166" s="4"/>
      <c r="AH166" s="14" t="s">
        <v>517</v>
      </c>
    </row>
    <row r="167" spans="1:34" x14ac:dyDescent="0.3">
      <c r="A167" s="4" t="s">
        <v>33</v>
      </c>
      <c r="B167" s="4">
        <v>962</v>
      </c>
      <c r="C167" s="4" t="s">
        <v>302</v>
      </c>
      <c r="D167" s="4" t="s">
        <v>325</v>
      </c>
      <c r="E167" s="6">
        <v>20</v>
      </c>
      <c r="F167" s="6" t="s">
        <v>44</v>
      </c>
      <c r="G167" s="6" t="s">
        <v>39</v>
      </c>
      <c r="H167" s="6">
        <v>63.4</v>
      </c>
      <c r="I167" s="6">
        <v>43.7</v>
      </c>
      <c r="J167" s="4">
        <v>1.93</v>
      </c>
      <c r="K167" s="4">
        <v>6.9</v>
      </c>
      <c r="L167" s="4">
        <v>7.8</v>
      </c>
      <c r="M167" s="4" t="s">
        <v>201</v>
      </c>
      <c r="N167" s="4" t="s">
        <v>201</v>
      </c>
      <c r="O167" s="4" t="s">
        <v>201</v>
      </c>
      <c r="P167" s="4" t="s">
        <v>201</v>
      </c>
      <c r="Q167" s="4" t="s">
        <v>201</v>
      </c>
      <c r="R167" s="4" t="s">
        <v>201</v>
      </c>
      <c r="S167" s="4" t="s">
        <v>201</v>
      </c>
      <c r="T167" s="4" t="s">
        <v>201</v>
      </c>
      <c r="U167" s="4" t="s">
        <v>201</v>
      </c>
      <c r="V167" s="4" t="s">
        <v>201</v>
      </c>
      <c r="W167" s="4" t="s">
        <v>201</v>
      </c>
      <c r="X167" s="4" t="s">
        <v>201</v>
      </c>
      <c r="Y167" s="4" t="s">
        <v>201</v>
      </c>
      <c r="Z167" s="4" t="s">
        <v>201</v>
      </c>
      <c r="AA167" s="4" t="s">
        <v>201</v>
      </c>
      <c r="AB167" s="4" t="s">
        <v>201</v>
      </c>
      <c r="AC167" s="4"/>
      <c r="AD167" s="4"/>
      <c r="AE167" s="4">
        <v>1298</v>
      </c>
      <c r="AF167" s="4" t="s">
        <v>81</v>
      </c>
      <c r="AG167" s="4" t="s">
        <v>81</v>
      </c>
    </row>
    <row r="168" spans="1:34" x14ac:dyDescent="0.3">
      <c r="A168" s="4" t="s">
        <v>33</v>
      </c>
      <c r="B168" s="4">
        <v>661</v>
      </c>
      <c r="C168" s="4" t="s">
        <v>43</v>
      </c>
      <c r="D168" s="5">
        <v>44438</v>
      </c>
      <c r="E168" s="6">
        <v>40</v>
      </c>
      <c r="F168" s="6" t="s">
        <v>44</v>
      </c>
      <c r="G168" s="6" t="s">
        <v>39</v>
      </c>
      <c r="H168" s="6">
        <v>64.8</v>
      </c>
      <c r="I168" s="6">
        <v>43.7</v>
      </c>
      <c r="J168" s="4"/>
      <c r="K168" s="4">
        <v>1.76</v>
      </c>
      <c r="L168" s="4">
        <v>1.62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>
        <v>454</v>
      </c>
      <c r="AF168" s="4">
        <v>36</v>
      </c>
      <c r="AG168" s="4" t="s">
        <v>201</v>
      </c>
    </row>
    <row r="169" spans="1:34" x14ac:dyDescent="0.3">
      <c r="A169" s="4" t="s">
        <v>33</v>
      </c>
      <c r="B169" s="4">
        <v>399</v>
      </c>
      <c r="C169" s="4" t="s">
        <v>43</v>
      </c>
      <c r="D169" s="5">
        <v>44256</v>
      </c>
      <c r="E169" s="6">
        <v>21.9</v>
      </c>
      <c r="F169" s="6" t="s">
        <v>44</v>
      </c>
      <c r="G169" s="6" t="s">
        <v>39</v>
      </c>
      <c r="H169" s="6">
        <v>67.599999999999994</v>
      </c>
      <c r="I169" s="6">
        <v>43.7</v>
      </c>
      <c r="J169" s="4">
        <v>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>
        <v>1128</v>
      </c>
      <c r="AF169" s="4">
        <v>50</v>
      </c>
      <c r="AG169" s="4"/>
      <c r="AH169" s="14" t="s">
        <v>517</v>
      </c>
    </row>
    <row r="170" spans="1:34" x14ac:dyDescent="0.3">
      <c r="A170" s="4" t="s">
        <v>33</v>
      </c>
      <c r="B170" s="4">
        <v>300</v>
      </c>
      <c r="C170" s="4" t="s">
        <v>43</v>
      </c>
      <c r="D170" s="5" t="s">
        <v>42</v>
      </c>
      <c r="E170" s="6">
        <v>24</v>
      </c>
      <c r="F170" s="6" t="s">
        <v>44</v>
      </c>
      <c r="G170" s="6" t="s">
        <v>39</v>
      </c>
      <c r="H170" s="6">
        <v>58</v>
      </c>
      <c r="I170" s="6">
        <v>43.8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>
        <v>1422</v>
      </c>
      <c r="AF170" s="4">
        <v>96</v>
      </c>
      <c r="AG170" s="4"/>
    </row>
    <row r="171" spans="1:34" x14ac:dyDescent="0.3">
      <c r="A171" s="4" t="s">
        <v>33</v>
      </c>
      <c r="B171" s="4">
        <v>679</v>
      </c>
      <c r="C171" s="4" t="s">
        <v>43</v>
      </c>
      <c r="D171" s="5">
        <v>44438</v>
      </c>
      <c r="E171" s="6">
        <v>40</v>
      </c>
      <c r="F171" s="6" t="s">
        <v>44</v>
      </c>
      <c r="G171" s="6" t="s">
        <v>39</v>
      </c>
      <c r="H171" s="6">
        <v>66.2</v>
      </c>
      <c r="I171" s="6">
        <v>43.8</v>
      </c>
      <c r="J171" s="4">
        <v>1.93</v>
      </c>
      <c r="K171" s="4">
        <v>7.56</v>
      </c>
      <c r="L171" s="4">
        <v>7.93</v>
      </c>
      <c r="M171" s="4" t="s">
        <v>267</v>
      </c>
      <c r="N171" s="4" t="s">
        <v>268</v>
      </c>
      <c r="O171" s="4" t="s">
        <v>269</v>
      </c>
      <c r="P171" s="4" t="s">
        <v>270</v>
      </c>
      <c r="Q171" s="4">
        <v>9.77</v>
      </c>
      <c r="R171" s="4">
        <v>8.11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>
        <v>1454</v>
      </c>
      <c r="AF171" s="4">
        <v>74</v>
      </c>
      <c r="AG171" s="4">
        <v>88</v>
      </c>
      <c r="AH171" s="14" t="s">
        <v>577</v>
      </c>
    </row>
    <row r="172" spans="1:34" x14ac:dyDescent="0.3">
      <c r="A172" s="4" t="s">
        <v>33</v>
      </c>
      <c r="B172" s="4">
        <v>472</v>
      </c>
      <c r="C172" s="4" t="s">
        <v>43</v>
      </c>
      <c r="D172" s="5">
        <v>44336</v>
      </c>
      <c r="E172" s="6"/>
      <c r="F172" s="6" t="s">
        <v>44</v>
      </c>
      <c r="G172" s="6" t="s">
        <v>39</v>
      </c>
      <c r="H172" s="6">
        <v>69.2</v>
      </c>
      <c r="I172" s="6">
        <v>43.8</v>
      </c>
      <c r="J172" s="4">
        <v>2</v>
      </c>
      <c r="K172" s="4">
        <v>7.93</v>
      </c>
      <c r="L172" s="4">
        <v>7.93</v>
      </c>
      <c r="M172" s="4">
        <v>7.49</v>
      </c>
      <c r="N172" s="4">
        <v>6.64</v>
      </c>
      <c r="O172" s="4">
        <v>5.44</v>
      </c>
      <c r="P172" s="4">
        <v>5.44</v>
      </c>
      <c r="Q172" s="4">
        <v>10</v>
      </c>
      <c r="R172" s="4">
        <v>10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>
        <v>2180</v>
      </c>
      <c r="AF172" s="4">
        <v>112</v>
      </c>
      <c r="AG172" s="4">
        <v>130</v>
      </c>
    </row>
    <row r="173" spans="1:34" x14ac:dyDescent="0.3">
      <c r="A173" s="4" t="s">
        <v>33</v>
      </c>
      <c r="B173" s="4">
        <v>855</v>
      </c>
      <c r="C173" s="4" t="s">
        <v>303</v>
      </c>
      <c r="D173" s="5">
        <v>44480</v>
      </c>
      <c r="E173" s="6">
        <v>40</v>
      </c>
      <c r="F173" s="6" t="s">
        <v>44</v>
      </c>
      <c r="G173" s="6" t="s">
        <v>39</v>
      </c>
      <c r="H173" s="6">
        <v>69.2</v>
      </c>
      <c r="I173" s="6">
        <v>43.8</v>
      </c>
      <c r="J173" s="4" t="s">
        <v>201</v>
      </c>
      <c r="K173" s="4">
        <v>8.56</v>
      </c>
      <c r="L173" s="4">
        <v>7.31</v>
      </c>
      <c r="M173" s="4" t="s">
        <v>319</v>
      </c>
      <c r="N173" s="4" t="s">
        <v>320</v>
      </c>
      <c r="O173" s="4">
        <v>8.16</v>
      </c>
      <c r="P173" s="4">
        <v>8.48</v>
      </c>
      <c r="Q173" s="4">
        <v>9.31</v>
      </c>
      <c r="R173" s="4">
        <v>8.43</v>
      </c>
      <c r="S173" s="4"/>
      <c r="T173" s="4"/>
      <c r="U173" s="4"/>
      <c r="V173" s="4"/>
      <c r="W173" s="4" t="s">
        <v>201</v>
      </c>
      <c r="X173" s="4" t="s">
        <v>201</v>
      </c>
      <c r="Y173" s="4" t="s">
        <v>201</v>
      </c>
      <c r="Z173" s="4" t="s">
        <v>201</v>
      </c>
      <c r="AA173" s="4"/>
      <c r="AB173" s="4"/>
      <c r="AC173" s="4"/>
      <c r="AD173" s="4"/>
      <c r="AE173" s="4">
        <v>1724</v>
      </c>
      <c r="AF173" s="4">
        <v>96</v>
      </c>
      <c r="AG173" s="4">
        <v>107</v>
      </c>
    </row>
    <row r="174" spans="1:34" x14ac:dyDescent="0.3">
      <c r="A174" s="4" t="s">
        <v>33</v>
      </c>
      <c r="B174" s="4">
        <v>342</v>
      </c>
      <c r="C174" s="4" t="s">
        <v>41</v>
      </c>
      <c r="D174" s="5" t="s">
        <v>42</v>
      </c>
      <c r="E174" s="6">
        <v>24</v>
      </c>
      <c r="F174" s="6" t="s">
        <v>44</v>
      </c>
      <c r="G174" s="6" t="s">
        <v>39</v>
      </c>
      <c r="H174" s="6">
        <v>62.5</v>
      </c>
      <c r="I174" s="6">
        <v>44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>
        <v>1628</v>
      </c>
      <c r="AF174" s="4">
        <v>68</v>
      </c>
      <c r="AG174" s="4">
        <v>102</v>
      </c>
    </row>
    <row r="175" spans="1:34" x14ac:dyDescent="0.3">
      <c r="A175" s="4" t="s">
        <v>33</v>
      </c>
      <c r="B175" s="4">
        <v>655</v>
      </c>
      <c r="C175" s="4" t="s">
        <v>43</v>
      </c>
      <c r="D175" s="5">
        <v>44438</v>
      </c>
      <c r="E175" s="6">
        <v>40</v>
      </c>
      <c r="F175" s="6" t="s">
        <v>44</v>
      </c>
      <c r="G175" s="6" t="s">
        <v>39</v>
      </c>
      <c r="H175" s="6">
        <v>64.3</v>
      </c>
      <c r="I175" s="6">
        <v>44</v>
      </c>
      <c r="J175" s="4">
        <v>1.2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>
        <v>2490</v>
      </c>
      <c r="AF175" s="4">
        <v>86</v>
      </c>
      <c r="AG175" s="4">
        <v>216</v>
      </c>
      <c r="AH175" s="14" t="s">
        <v>577</v>
      </c>
    </row>
    <row r="176" spans="1:34" x14ac:dyDescent="0.3">
      <c r="A176" s="4" t="s">
        <v>33</v>
      </c>
      <c r="B176" s="4">
        <v>341</v>
      </c>
      <c r="C176" s="4" t="s">
        <v>41</v>
      </c>
      <c r="D176" s="5" t="s">
        <v>42</v>
      </c>
      <c r="E176" s="6">
        <v>24</v>
      </c>
      <c r="F176" s="6" t="s">
        <v>44</v>
      </c>
      <c r="G176" s="6" t="s">
        <v>40</v>
      </c>
      <c r="H176" s="6">
        <v>65</v>
      </c>
      <c r="I176" s="6">
        <v>44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>
        <v>1340</v>
      </c>
      <c r="AF176" s="4">
        <v>72</v>
      </c>
      <c r="AG176" s="4"/>
    </row>
    <row r="177" spans="1:34" x14ac:dyDescent="0.3">
      <c r="A177" s="4" t="s">
        <v>33</v>
      </c>
      <c r="B177" s="4">
        <v>189</v>
      </c>
      <c r="C177" s="4" t="s">
        <v>41</v>
      </c>
      <c r="D177" s="5" t="s">
        <v>42</v>
      </c>
      <c r="E177" s="6">
        <v>15</v>
      </c>
      <c r="F177" s="6" t="s">
        <v>44</v>
      </c>
      <c r="G177" s="6" t="s">
        <v>39</v>
      </c>
      <c r="H177" s="6">
        <v>65.3</v>
      </c>
      <c r="I177" s="6">
        <v>44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>
        <v>1558</v>
      </c>
      <c r="AF177" s="4">
        <v>70</v>
      </c>
      <c r="AG177" s="4">
        <v>60</v>
      </c>
    </row>
    <row r="178" spans="1:34" x14ac:dyDescent="0.3">
      <c r="A178" s="4" t="s">
        <v>33</v>
      </c>
      <c r="B178" s="4">
        <v>307</v>
      </c>
      <c r="C178" s="4" t="s">
        <v>41</v>
      </c>
      <c r="D178" s="5" t="s">
        <v>42</v>
      </c>
      <c r="E178" s="6">
        <v>24</v>
      </c>
      <c r="F178" s="6" t="s">
        <v>44</v>
      </c>
      <c r="G178" s="6" t="s">
        <v>39</v>
      </c>
      <c r="H178" s="6">
        <v>66</v>
      </c>
      <c r="I178" s="6">
        <v>44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>
        <v>1300</v>
      </c>
      <c r="AF178" s="4">
        <v>70</v>
      </c>
      <c r="AG178" s="4"/>
    </row>
    <row r="179" spans="1:34" x14ac:dyDescent="0.3">
      <c r="A179" s="4" t="s">
        <v>33</v>
      </c>
      <c r="B179" s="4">
        <v>1033</v>
      </c>
      <c r="C179" s="4" t="s">
        <v>302</v>
      </c>
      <c r="D179" s="5">
        <v>44543</v>
      </c>
      <c r="E179" s="6">
        <v>40</v>
      </c>
      <c r="F179" s="6" t="s">
        <v>44</v>
      </c>
      <c r="G179" s="6" t="s">
        <v>39</v>
      </c>
      <c r="H179" s="6">
        <v>66.8</v>
      </c>
      <c r="I179" s="6">
        <v>44</v>
      </c>
      <c r="J179" s="4">
        <v>1.8</v>
      </c>
      <c r="K179" s="4">
        <v>7.43</v>
      </c>
      <c r="L179" s="4">
        <v>7.37</v>
      </c>
      <c r="M179" s="4" t="s">
        <v>396</v>
      </c>
      <c r="N179" s="4" t="s">
        <v>397</v>
      </c>
      <c r="O179" s="4">
        <v>9.8000000000000007</v>
      </c>
      <c r="P179" s="4">
        <v>9.83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>
        <v>1512</v>
      </c>
      <c r="AF179" s="4">
        <v>60</v>
      </c>
      <c r="AG179" s="4">
        <v>124</v>
      </c>
    </row>
    <row r="180" spans="1:34" x14ac:dyDescent="0.3">
      <c r="A180" s="4" t="s">
        <v>33</v>
      </c>
      <c r="B180" s="4">
        <v>681</v>
      </c>
      <c r="C180" s="4" t="s">
        <v>43</v>
      </c>
      <c r="D180" s="5">
        <v>44438</v>
      </c>
      <c r="E180" s="6">
        <v>40</v>
      </c>
      <c r="F180" s="6" t="s">
        <v>44</v>
      </c>
      <c r="G180" s="6" t="s">
        <v>39</v>
      </c>
      <c r="H180" s="6">
        <v>67.8</v>
      </c>
      <c r="I180" s="6">
        <v>44</v>
      </c>
      <c r="J180" s="4"/>
      <c r="K180" s="4">
        <v>2.14</v>
      </c>
      <c r="L180" s="4">
        <v>1.22</v>
      </c>
      <c r="M180" s="4">
        <v>0.96</v>
      </c>
      <c r="N180" s="4">
        <v>0.87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>
        <v>440</v>
      </c>
      <c r="AF180" s="4">
        <v>22</v>
      </c>
      <c r="AG180" s="4">
        <v>4</v>
      </c>
    </row>
    <row r="181" spans="1:34" x14ac:dyDescent="0.3">
      <c r="A181" s="4" t="s">
        <v>33</v>
      </c>
      <c r="B181" s="4">
        <v>627</v>
      </c>
      <c r="C181" s="4" t="s">
        <v>43</v>
      </c>
      <c r="D181" s="5">
        <v>44403</v>
      </c>
      <c r="E181" s="6">
        <v>40</v>
      </c>
      <c r="F181" s="6" t="s">
        <v>44</v>
      </c>
      <c r="G181" s="6" t="s">
        <v>39</v>
      </c>
      <c r="H181" s="6">
        <v>66.3</v>
      </c>
      <c r="I181" s="6">
        <v>44.1</v>
      </c>
      <c r="J181" s="4"/>
      <c r="K181" s="4">
        <v>3.58</v>
      </c>
      <c r="L181" s="4">
        <v>3.72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 t="s">
        <v>201</v>
      </c>
      <c r="AF181" s="4" t="s">
        <v>201</v>
      </c>
      <c r="AG181" s="4" t="s">
        <v>201</v>
      </c>
      <c r="AH181" s="4" t="s">
        <v>572</v>
      </c>
    </row>
    <row r="182" spans="1:34" x14ac:dyDescent="0.3">
      <c r="A182" s="4" t="s">
        <v>33</v>
      </c>
      <c r="B182" s="4">
        <v>510</v>
      </c>
      <c r="C182" s="4" t="s">
        <v>43</v>
      </c>
      <c r="D182" s="5">
        <v>44336</v>
      </c>
      <c r="E182" s="6"/>
      <c r="F182" s="6" t="s">
        <v>44</v>
      </c>
      <c r="G182" s="6" t="s">
        <v>39</v>
      </c>
      <c r="H182" s="6">
        <v>51.5</v>
      </c>
      <c r="I182" s="6">
        <v>44.2</v>
      </c>
      <c r="J182" s="4">
        <v>1.87</v>
      </c>
      <c r="K182" s="4">
        <v>8.09</v>
      </c>
      <c r="L182" s="4">
        <v>7.86</v>
      </c>
      <c r="M182" s="4" t="s">
        <v>91</v>
      </c>
      <c r="N182" s="4" t="s">
        <v>91</v>
      </c>
      <c r="O182" s="4" t="s">
        <v>92</v>
      </c>
      <c r="P182" s="4" t="s">
        <v>92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>
        <v>1328</v>
      </c>
      <c r="AF182" s="4">
        <v>86</v>
      </c>
      <c r="AG182" s="4">
        <v>92</v>
      </c>
      <c r="AH182" s="14" t="s">
        <v>557</v>
      </c>
    </row>
    <row r="183" spans="1:34" x14ac:dyDescent="0.3">
      <c r="A183" s="4" t="s">
        <v>33</v>
      </c>
      <c r="B183" s="4">
        <v>299</v>
      </c>
      <c r="C183" s="4" t="s">
        <v>43</v>
      </c>
      <c r="D183" s="5" t="s">
        <v>42</v>
      </c>
      <c r="E183" s="6">
        <v>24</v>
      </c>
      <c r="F183" s="6" t="s">
        <v>44</v>
      </c>
      <c r="G183" s="6" t="s">
        <v>39</v>
      </c>
      <c r="H183" s="6">
        <v>58.7</v>
      </c>
      <c r="I183" s="6">
        <v>44.2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>
        <v>1630</v>
      </c>
      <c r="AF183" s="4">
        <v>108</v>
      </c>
      <c r="AG183" s="4"/>
      <c r="AH183" s="14" t="s">
        <v>538</v>
      </c>
    </row>
    <row r="184" spans="1:34" x14ac:dyDescent="0.3">
      <c r="A184" s="4" t="s">
        <v>33</v>
      </c>
      <c r="B184" s="4">
        <v>367</v>
      </c>
      <c r="C184" s="4" t="s">
        <v>46</v>
      </c>
      <c r="D184" s="5">
        <v>44256</v>
      </c>
      <c r="E184" s="6">
        <v>21.9</v>
      </c>
      <c r="F184" s="6" t="s">
        <v>44</v>
      </c>
      <c r="G184" s="6" t="s">
        <v>39</v>
      </c>
      <c r="H184" s="6">
        <v>66.900000000000006</v>
      </c>
      <c r="I184" s="6">
        <v>44.2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>
        <v>880</v>
      </c>
      <c r="AF184" s="4">
        <v>50</v>
      </c>
      <c r="AG184" s="4">
        <v>10</v>
      </c>
      <c r="AH184" s="14" t="s">
        <v>545</v>
      </c>
    </row>
    <row r="185" spans="1:34" x14ac:dyDescent="0.3">
      <c r="A185" s="4" t="s">
        <v>33</v>
      </c>
      <c r="B185" s="4">
        <v>321</v>
      </c>
      <c r="C185" s="4" t="s">
        <v>41</v>
      </c>
      <c r="D185" s="5" t="s">
        <v>42</v>
      </c>
      <c r="E185" s="6">
        <v>24</v>
      </c>
      <c r="F185" s="6" t="s">
        <v>44</v>
      </c>
      <c r="G185" s="6" t="s">
        <v>39</v>
      </c>
      <c r="H185" s="6">
        <v>66.099999999999994</v>
      </c>
      <c r="I185" s="6">
        <v>44.3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>
        <v>1332</v>
      </c>
      <c r="AF185" s="4">
        <v>60</v>
      </c>
      <c r="AG185" s="4"/>
      <c r="AH185" s="14" t="s">
        <v>537</v>
      </c>
    </row>
    <row r="186" spans="1:34" x14ac:dyDescent="0.3">
      <c r="A186" s="4" t="s">
        <v>33</v>
      </c>
      <c r="B186" s="4">
        <v>626</v>
      </c>
      <c r="C186" s="4" t="s">
        <v>43</v>
      </c>
      <c r="D186" s="5">
        <v>44403</v>
      </c>
      <c r="E186" s="6">
        <v>40</v>
      </c>
      <c r="F186" s="6" t="s">
        <v>44</v>
      </c>
      <c r="G186" s="6" t="s">
        <v>39</v>
      </c>
      <c r="H186" s="6">
        <v>59.8</v>
      </c>
      <c r="I186" s="6">
        <v>44.4</v>
      </c>
      <c r="J186" s="4">
        <v>1.55</v>
      </c>
      <c r="K186" s="4">
        <v>7.51</v>
      </c>
      <c r="L186" s="4">
        <v>7.72</v>
      </c>
      <c r="M186" s="4"/>
      <c r="N186" s="4">
        <v>8.1</v>
      </c>
      <c r="O186" s="4">
        <v>6.42</v>
      </c>
      <c r="P186" s="4">
        <v>6.23</v>
      </c>
      <c r="Q186" s="4">
        <v>8.4</v>
      </c>
      <c r="R186" s="4">
        <v>8.9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>
        <v>1404</v>
      </c>
      <c r="AF186" s="4" t="s">
        <v>201</v>
      </c>
      <c r="AG186" s="4" t="s">
        <v>201</v>
      </c>
      <c r="AH186" s="14" t="s">
        <v>571</v>
      </c>
    </row>
    <row r="187" spans="1:34" x14ac:dyDescent="0.3">
      <c r="A187" s="4" t="s">
        <v>33</v>
      </c>
      <c r="B187" s="4">
        <v>647</v>
      </c>
      <c r="C187" s="4" t="s">
        <v>36</v>
      </c>
      <c r="D187" s="5" t="s">
        <v>204</v>
      </c>
      <c r="E187" s="6">
        <v>20</v>
      </c>
      <c r="F187" s="6" t="s">
        <v>44</v>
      </c>
      <c r="G187" s="6" t="s">
        <v>40</v>
      </c>
      <c r="H187" s="6">
        <v>66.3</v>
      </c>
      <c r="I187" s="6">
        <v>44.4</v>
      </c>
      <c r="J187" s="4">
        <v>2.0099999999999998</v>
      </c>
      <c r="K187" s="4">
        <v>5.1100000000000003</v>
      </c>
      <c r="L187" s="4">
        <v>5.22</v>
      </c>
      <c r="M187" s="4" t="s">
        <v>211</v>
      </c>
      <c r="N187" s="4" t="s">
        <v>212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>
        <v>1.21</v>
      </c>
      <c r="AF187" s="4">
        <v>60</v>
      </c>
      <c r="AG187" s="4">
        <v>8</v>
      </c>
      <c r="AH187" s="4" t="s">
        <v>577</v>
      </c>
    </row>
    <row r="188" spans="1:34" x14ac:dyDescent="0.3">
      <c r="A188" s="4" t="s">
        <v>33</v>
      </c>
      <c r="B188" s="4">
        <v>397</v>
      </c>
      <c r="C188" s="4" t="s">
        <v>43</v>
      </c>
      <c r="D188" s="5">
        <v>44256</v>
      </c>
      <c r="E188" s="6">
        <v>21.9</v>
      </c>
      <c r="F188" s="6" t="s">
        <v>44</v>
      </c>
      <c r="G188" s="6" t="s">
        <v>39</v>
      </c>
      <c r="H188" s="6">
        <v>67.3</v>
      </c>
      <c r="I188" s="6">
        <v>44.4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>
        <v>1270</v>
      </c>
      <c r="AF188" s="4">
        <v>48</v>
      </c>
      <c r="AG188" s="4">
        <v>80</v>
      </c>
    </row>
    <row r="189" spans="1:34" x14ac:dyDescent="0.3">
      <c r="A189" s="4" t="s">
        <v>33</v>
      </c>
      <c r="B189" s="4">
        <v>160</v>
      </c>
      <c r="C189" s="4" t="s">
        <v>41</v>
      </c>
      <c r="D189" s="5" t="s">
        <v>42</v>
      </c>
      <c r="E189" s="6">
        <v>15</v>
      </c>
      <c r="F189" s="6" t="s">
        <v>44</v>
      </c>
      <c r="G189" s="6" t="s">
        <v>39</v>
      </c>
      <c r="H189" s="6">
        <v>61.5</v>
      </c>
      <c r="I189" s="6">
        <v>44.5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>
        <v>1742</v>
      </c>
      <c r="AF189" s="4">
        <v>86</v>
      </c>
      <c r="AG189" s="4">
        <v>66</v>
      </c>
      <c r="AH189" s="14" t="s">
        <v>569</v>
      </c>
    </row>
    <row r="190" spans="1:34" x14ac:dyDescent="0.3">
      <c r="A190" s="4" t="s">
        <v>33</v>
      </c>
      <c r="B190" s="4">
        <v>336</v>
      </c>
      <c r="C190" s="4" t="s">
        <v>41</v>
      </c>
      <c r="D190" s="5" t="s">
        <v>42</v>
      </c>
      <c r="E190" s="6">
        <v>24</v>
      </c>
      <c r="F190" s="6" t="s">
        <v>44</v>
      </c>
      <c r="G190" s="6" t="s">
        <v>39</v>
      </c>
      <c r="H190" s="6">
        <v>61.5</v>
      </c>
      <c r="I190" s="6">
        <v>44.5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>
        <v>1138</v>
      </c>
      <c r="AF190" s="4">
        <v>50</v>
      </c>
      <c r="AG190" s="4"/>
      <c r="AH190" s="14" t="s">
        <v>542</v>
      </c>
    </row>
    <row r="191" spans="1:34" x14ac:dyDescent="0.3">
      <c r="A191" s="4" t="s">
        <v>33</v>
      </c>
      <c r="B191" s="4">
        <v>648</v>
      </c>
      <c r="C191" s="4" t="s">
        <v>36</v>
      </c>
      <c r="D191" s="5" t="s">
        <v>204</v>
      </c>
      <c r="E191" s="6">
        <v>40</v>
      </c>
      <c r="F191" s="6" t="s">
        <v>44</v>
      </c>
      <c r="G191" s="6" t="s">
        <v>40</v>
      </c>
      <c r="H191" s="6">
        <v>62.4</v>
      </c>
      <c r="I191" s="6">
        <v>44.5</v>
      </c>
      <c r="J191" s="4">
        <v>2.2999999999999998</v>
      </c>
      <c r="K191" s="4">
        <v>8.1</v>
      </c>
      <c r="L191" s="4">
        <v>7.4</v>
      </c>
      <c r="M191" s="4" t="s">
        <v>213</v>
      </c>
      <c r="N191" s="4" t="s">
        <v>214</v>
      </c>
      <c r="O191" s="4">
        <v>7.6</v>
      </c>
      <c r="P191" s="4">
        <v>7.2</v>
      </c>
      <c r="Q191" s="4">
        <v>9.0500000000000007</v>
      </c>
      <c r="R191" s="4">
        <v>10.4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>
        <v>1.78</v>
      </c>
      <c r="AF191" s="4">
        <v>8.4000000000000005E-2</v>
      </c>
      <c r="AG191" s="4">
        <v>0.152</v>
      </c>
    </row>
    <row r="192" spans="1:34" x14ac:dyDescent="0.3">
      <c r="A192" s="4" t="s">
        <v>33</v>
      </c>
      <c r="B192" s="4">
        <v>1022</v>
      </c>
      <c r="C192" s="4" t="s">
        <v>302</v>
      </c>
      <c r="D192" s="4" t="s">
        <v>325</v>
      </c>
      <c r="E192" s="6">
        <v>40</v>
      </c>
      <c r="F192" s="6" t="s">
        <v>44</v>
      </c>
      <c r="G192" s="6" t="s">
        <v>39</v>
      </c>
      <c r="H192" s="6">
        <v>64</v>
      </c>
      <c r="I192" s="6">
        <v>44.5</v>
      </c>
      <c r="J192" s="4">
        <v>2.56</v>
      </c>
      <c r="K192" s="4">
        <v>8.34</v>
      </c>
      <c r="L192" s="4">
        <v>9.48</v>
      </c>
      <c r="M192" s="4" t="s">
        <v>386</v>
      </c>
      <c r="N192" s="4" t="s">
        <v>387</v>
      </c>
      <c r="O192" s="4">
        <v>10.72</v>
      </c>
      <c r="P192" s="4">
        <v>10.36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>
        <v>1726</v>
      </c>
      <c r="AF192" s="4">
        <v>88</v>
      </c>
      <c r="AG192" s="4" t="s">
        <v>201</v>
      </c>
    </row>
    <row r="193" spans="1:34" x14ac:dyDescent="0.3">
      <c r="A193" s="4" t="s">
        <v>33</v>
      </c>
      <c r="B193" s="4">
        <v>324</v>
      </c>
      <c r="C193" s="4" t="s">
        <v>41</v>
      </c>
      <c r="D193" s="5" t="s">
        <v>42</v>
      </c>
      <c r="E193" s="6">
        <v>24</v>
      </c>
      <c r="F193" s="6" t="s">
        <v>44</v>
      </c>
      <c r="G193" s="6" t="s">
        <v>39</v>
      </c>
      <c r="H193" s="6">
        <v>64.5</v>
      </c>
      <c r="I193" s="6">
        <v>44.5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>
        <v>1740</v>
      </c>
      <c r="AF193" s="4">
        <v>108</v>
      </c>
      <c r="AG193" s="4"/>
      <c r="AH193" s="14" t="s">
        <v>517</v>
      </c>
    </row>
    <row r="194" spans="1:34" x14ac:dyDescent="0.3">
      <c r="A194" s="4" t="s">
        <v>33</v>
      </c>
      <c r="B194" s="4">
        <v>1036</v>
      </c>
      <c r="C194" s="4" t="s">
        <v>302</v>
      </c>
      <c r="D194" s="4" t="s">
        <v>325</v>
      </c>
      <c r="E194" s="6">
        <v>40</v>
      </c>
      <c r="F194" s="6" t="s">
        <v>44</v>
      </c>
      <c r="G194" s="6" t="s">
        <v>39</v>
      </c>
      <c r="H194" s="6">
        <v>67.3</v>
      </c>
      <c r="I194" s="6">
        <v>44.5</v>
      </c>
      <c r="J194" s="4">
        <v>1.97</v>
      </c>
      <c r="K194" s="4">
        <v>8.27</v>
      </c>
      <c r="L194" s="4">
        <v>7.6</v>
      </c>
      <c r="M194" s="4" t="s">
        <v>402</v>
      </c>
      <c r="N194" s="4" t="s">
        <v>403</v>
      </c>
      <c r="O194" s="4">
        <v>9.0299999999999994</v>
      </c>
      <c r="P194" s="4">
        <v>9.6999999999999993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>
        <v>1550</v>
      </c>
      <c r="AF194" s="4">
        <v>70</v>
      </c>
      <c r="AG194" s="4">
        <v>112</v>
      </c>
    </row>
    <row r="195" spans="1:34" x14ac:dyDescent="0.3">
      <c r="A195" s="4" t="s">
        <v>33</v>
      </c>
      <c r="B195" s="4">
        <v>684</v>
      </c>
      <c r="C195" s="4" t="s">
        <v>43</v>
      </c>
      <c r="D195" s="5">
        <v>44438</v>
      </c>
      <c r="E195" s="6">
        <v>40</v>
      </c>
      <c r="F195" s="6" t="s">
        <v>44</v>
      </c>
      <c r="G195" s="6" t="s">
        <v>39</v>
      </c>
      <c r="H195" s="6">
        <v>68.2</v>
      </c>
      <c r="I195" s="6">
        <v>44.5</v>
      </c>
      <c r="J195" s="4">
        <v>2.0099999999999998</v>
      </c>
      <c r="K195" s="4">
        <v>9.4600000000000009</v>
      </c>
      <c r="L195" s="4">
        <v>8.67</v>
      </c>
      <c r="M195" s="4" t="s">
        <v>279</v>
      </c>
      <c r="N195" s="4" t="s">
        <v>280</v>
      </c>
      <c r="O195" s="4">
        <v>5.56</v>
      </c>
      <c r="P195" s="4">
        <v>5.12</v>
      </c>
      <c r="Q195" s="4">
        <v>7.46</v>
      </c>
      <c r="R195" s="4">
        <v>7.24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>
        <v>1420</v>
      </c>
      <c r="AF195" s="4">
        <v>60</v>
      </c>
      <c r="AG195" s="4">
        <v>66</v>
      </c>
    </row>
    <row r="196" spans="1:34" x14ac:dyDescent="0.3">
      <c r="A196" s="4" t="s">
        <v>33</v>
      </c>
      <c r="B196" s="4">
        <v>170</v>
      </c>
      <c r="C196" s="4" t="s">
        <v>41</v>
      </c>
      <c r="D196" s="5" t="s">
        <v>42</v>
      </c>
      <c r="E196" s="6">
        <v>15</v>
      </c>
      <c r="F196" s="6" t="s">
        <v>44</v>
      </c>
      <c r="G196" s="6" t="s">
        <v>39</v>
      </c>
      <c r="H196" s="6">
        <v>68.5</v>
      </c>
      <c r="I196" s="6">
        <v>44.5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>
        <v>1598</v>
      </c>
      <c r="AF196" s="4">
        <v>94</v>
      </c>
      <c r="AG196" s="4">
        <v>74</v>
      </c>
    </row>
    <row r="197" spans="1:34" x14ac:dyDescent="0.3">
      <c r="A197" s="4" t="s">
        <v>33</v>
      </c>
      <c r="B197" s="4">
        <v>587</v>
      </c>
      <c r="C197" s="4" t="s">
        <v>43</v>
      </c>
      <c r="D197" s="5">
        <v>44361</v>
      </c>
      <c r="E197" s="6"/>
      <c r="F197" s="6" t="s">
        <v>44</v>
      </c>
      <c r="G197" s="6" t="s">
        <v>39</v>
      </c>
      <c r="H197" s="6">
        <v>69.400000000000006</v>
      </c>
      <c r="I197" s="6">
        <v>44.5</v>
      </c>
      <c r="J197" s="4"/>
      <c r="K197" s="4">
        <v>4.03</v>
      </c>
      <c r="L197" s="4">
        <v>4.59</v>
      </c>
      <c r="M197" s="4" t="s">
        <v>165</v>
      </c>
      <c r="N197" s="4" t="s">
        <v>166</v>
      </c>
      <c r="O197" s="4"/>
      <c r="P197" s="4"/>
      <c r="Q197" s="4">
        <v>6.72</v>
      </c>
      <c r="R197" s="4">
        <v>7.49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>
        <v>1064</v>
      </c>
      <c r="AF197" s="4">
        <v>66</v>
      </c>
      <c r="AG197" s="4">
        <v>6</v>
      </c>
    </row>
    <row r="198" spans="1:34" x14ac:dyDescent="0.3">
      <c r="A198" s="4" t="s">
        <v>33</v>
      </c>
      <c r="B198" s="4">
        <v>330</v>
      </c>
      <c r="C198" s="4" t="s">
        <v>41</v>
      </c>
      <c r="D198" s="5" t="s">
        <v>42</v>
      </c>
      <c r="E198" s="6">
        <v>24</v>
      </c>
      <c r="F198" s="6" t="s">
        <v>44</v>
      </c>
      <c r="G198" s="6" t="s">
        <v>39</v>
      </c>
      <c r="H198" s="6">
        <v>70.2</v>
      </c>
      <c r="I198" s="6">
        <v>44.5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>
        <v>1086</v>
      </c>
      <c r="AF198" s="4"/>
      <c r="AG198" s="4"/>
    </row>
    <row r="199" spans="1:34" x14ac:dyDescent="0.3">
      <c r="A199" s="4" t="s">
        <v>33</v>
      </c>
      <c r="B199" s="4">
        <v>267</v>
      </c>
      <c r="C199" s="4" t="s">
        <v>43</v>
      </c>
      <c r="D199" s="5" t="s">
        <v>42</v>
      </c>
      <c r="E199" s="6">
        <v>24</v>
      </c>
      <c r="F199" s="6" t="s">
        <v>44</v>
      </c>
      <c r="G199" s="6" t="s">
        <v>40</v>
      </c>
      <c r="H199" s="6">
        <v>69.7</v>
      </c>
      <c r="I199" s="6">
        <v>44.6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>
        <v>1674</v>
      </c>
      <c r="AF199" s="4"/>
      <c r="AG199" s="4"/>
      <c r="AH199" s="14" t="s">
        <v>517</v>
      </c>
    </row>
    <row r="200" spans="1:34" x14ac:dyDescent="0.3">
      <c r="A200" s="4" t="s">
        <v>33</v>
      </c>
      <c r="B200" s="4">
        <v>600</v>
      </c>
      <c r="C200" s="4" t="s">
        <v>43</v>
      </c>
      <c r="D200" s="5">
        <v>44361</v>
      </c>
      <c r="E200" s="6"/>
      <c r="F200" s="6" t="s">
        <v>44</v>
      </c>
      <c r="G200" s="6" t="s">
        <v>40</v>
      </c>
      <c r="H200" s="6">
        <v>66.599999999999994</v>
      </c>
      <c r="I200" s="6">
        <v>44.7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>
        <v>78</v>
      </c>
      <c r="AF200" s="4"/>
      <c r="AG200" s="4"/>
    </row>
    <row r="201" spans="1:34" x14ac:dyDescent="0.3">
      <c r="A201" s="4" t="s">
        <v>33</v>
      </c>
      <c r="B201" s="4">
        <v>219</v>
      </c>
      <c r="C201" s="4" t="s">
        <v>43</v>
      </c>
      <c r="D201" s="5" t="s">
        <v>42</v>
      </c>
      <c r="E201" s="6">
        <v>15</v>
      </c>
      <c r="F201" s="6" t="s">
        <v>44</v>
      </c>
      <c r="G201" s="6" t="s">
        <v>39</v>
      </c>
      <c r="H201" s="6">
        <v>68.5</v>
      </c>
      <c r="I201" s="6">
        <v>44.7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>
        <v>1496</v>
      </c>
      <c r="AF201" s="4">
        <v>62</v>
      </c>
      <c r="AG201" s="4">
        <v>86</v>
      </c>
      <c r="AH201" s="14" t="s">
        <v>516</v>
      </c>
    </row>
    <row r="202" spans="1:34" x14ac:dyDescent="0.3">
      <c r="A202" s="4" t="s">
        <v>33</v>
      </c>
      <c r="B202" s="4">
        <v>412</v>
      </c>
      <c r="C202" s="4" t="s">
        <v>43</v>
      </c>
      <c r="D202" s="5">
        <v>44256</v>
      </c>
      <c r="E202" s="6">
        <v>21.9</v>
      </c>
      <c r="F202" s="6" t="s">
        <v>44</v>
      </c>
      <c r="G202" s="6" t="s">
        <v>39</v>
      </c>
      <c r="H202" s="6">
        <v>54.1</v>
      </c>
      <c r="I202" s="6">
        <v>44.8</v>
      </c>
      <c r="J202" s="4">
        <v>2.2999999999999998</v>
      </c>
      <c r="K202" s="4">
        <v>9.3000000000000007</v>
      </c>
      <c r="L202" s="4">
        <v>9.3000000000000007</v>
      </c>
      <c r="M202" s="4" t="s">
        <v>56</v>
      </c>
      <c r="N202" s="4" t="s">
        <v>57</v>
      </c>
      <c r="O202" s="4" t="s">
        <v>58</v>
      </c>
      <c r="P202" s="4" t="s">
        <v>59</v>
      </c>
      <c r="Q202" s="4" t="s">
        <v>60</v>
      </c>
      <c r="R202" s="4" t="s">
        <v>61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>
        <v>1658</v>
      </c>
      <c r="AF202" s="4">
        <v>86</v>
      </c>
      <c r="AG202" s="4">
        <v>92</v>
      </c>
      <c r="AH202" s="14" t="s">
        <v>517</v>
      </c>
    </row>
    <row r="203" spans="1:34" x14ac:dyDescent="0.3">
      <c r="A203" s="4" t="s">
        <v>33</v>
      </c>
      <c r="B203" s="4">
        <v>172</v>
      </c>
      <c r="C203" s="4" t="s">
        <v>41</v>
      </c>
      <c r="D203" s="5" t="s">
        <v>42</v>
      </c>
      <c r="E203" s="6">
        <v>15</v>
      </c>
      <c r="F203" s="6" t="s">
        <v>44</v>
      </c>
      <c r="G203" s="6" t="s">
        <v>40</v>
      </c>
      <c r="H203" s="6">
        <v>65.400000000000006</v>
      </c>
      <c r="I203" s="6">
        <v>44.8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>
        <v>1590</v>
      </c>
      <c r="AF203" s="4">
        <v>110</v>
      </c>
      <c r="AG203" s="4">
        <v>22</v>
      </c>
      <c r="AH203" s="14" t="s">
        <v>510</v>
      </c>
    </row>
    <row r="204" spans="1:34" x14ac:dyDescent="0.3">
      <c r="A204" s="4" t="s">
        <v>33</v>
      </c>
      <c r="B204" s="4">
        <v>269</v>
      </c>
      <c r="C204" s="4" t="s">
        <v>36</v>
      </c>
      <c r="D204" s="4" t="s">
        <v>42</v>
      </c>
      <c r="E204" s="6">
        <v>24</v>
      </c>
      <c r="F204" s="6" t="s">
        <v>44</v>
      </c>
      <c r="G204" s="6" t="s">
        <v>39</v>
      </c>
      <c r="H204" s="6">
        <v>74.599999999999994</v>
      </c>
      <c r="I204" s="6">
        <v>44.8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>
        <v>1240</v>
      </c>
      <c r="AF204" s="4">
        <v>72</v>
      </c>
      <c r="AG204" s="4"/>
      <c r="AH204" s="14" t="s">
        <v>517</v>
      </c>
    </row>
    <row r="205" spans="1:34" x14ac:dyDescent="0.3">
      <c r="A205" s="4" t="s">
        <v>33</v>
      </c>
      <c r="B205" s="4">
        <v>194</v>
      </c>
      <c r="C205" s="4" t="s">
        <v>41</v>
      </c>
      <c r="D205" s="5" t="s">
        <v>42</v>
      </c>
      <c r="E205" s="6">
        <v>15</v>
      </c>
      <c r="F205" s="6" t="s">
        <v>44</v>
      </c>
      <c r="G205" s="6" t="s">
        <v>39</v>
      </c>
      <c r="H205" s="6">
        <v>66.5</v>
      </c>
      <c r="I205" s="6">
        <v>44.9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>
        <v>1790</v>
      </c>
      <c r="AF205" s="4">
        <v>90</v>
      </c>
      <c r="AG205" s="4">
        <v>98</v>
      </c>
      <c r="AH205" s="14" t="s">
        <v>516</v>
      </c>
    </row>
    <row r="206" spans="1:34" x14ac:dyDescent="0.3">
      <c r="A206" s="4" t="s">
        <v>33</v>
      </c>
      <c r="B206" s="4">
        <v>591</v>
      </c>
      <c r="C206" s="4" t="s">
        <v>43</v>
      </c>
      <c r="D206" s="5">
        <v>44361</v>
      </c>
      <c r="E206" s="6"/>
      <c r="F206" s="6" t="s">
        <v>44</v>
      </c>
      <c r="G206" s="6" t="s">
        <v>40</v>
      </c>
      <c r="H206" s="6">
        <v>67.099999999999994</v>
      </c>
      <c r="I206" s="6">
        <v>44.9</v>
      </c>
      <c r="J206" s="4">
        <v>1.47</v>
      </c>
      <c r="K206" s="4">
        <v>7.83</v>
      </c>
      <c r="L206" s="4">
        <v>7.43</v>
      </c>
      <c r="M206" s="4" t="s">
        <v>171</v>
      </c>
      <c r="N206" s="4"/>
      <c r="O206" s="4" t="s">
        <v>172</v>
      </c>
      <c r="P206" s="4"/>
      <c r="Q206" s="4">
        <v>7</v>
      </c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>
        <v>1346</v>
      </c>
      <c r="AF206" s="4"/>
      <c r="AG206" s="4"/>
      <c r="AH206" s="14" t="s">
        <v>517</v>
      </c>
    </row>
    <row r="207" spans="1:34" x14ac:dyDescent="0.3">
      <c r="A207" s="4" t="s">
        <v>33</v>
      </c>
      <c r="B207" s="4">
        <v>325</v>
      </c>
      <c r="C207" s="4" t="s">
        <v>41</v>
      </c>
      <c r="D207" s="5" t="s">
        <v>42</v>
      </c>
      <c r="E207" s="6">
        <v>24</v>
      </c>
      <c r="F207" s="6" t="s">
        <v>44</v>
      </c>
      <c r="G207" s="6" t="s">
        <v>39</v>
      </c>
      <c r="H207" s="6">
        <v>61</v>
      </c>
      <c r="I207" s="6">
        <v>45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>
        <v>1328</v>
      </c>
      <c r="AF207" s="4">
        <v>72</v>
      </c>
      <c r="AG207" s="4"/>
    </row>
    <row r="208" spans="1:34" x14ac:dyDescent="0.3">
      <c r="A208" s="4" t="s">
        <v>33</v>
      </c>
      <c r="B208" s="4">
        <v>353</v>
      </c>
      <c r="C208" s="4" t="s">
        <v>46</v>
      </c>
      <c r="D208" s="5">
        <v>44256</v>
      </c>
      <c r="E208" s="6">
        <v>21.9</v>
      </c>
      <c r="F208" s="6" t="s">
        <v>44</v>
      </c>
      <c r="G208" s="6" t="s">
        <v>39</v>
      </c>
      <c r="H208" s="6">
        <v>63.2</v>
      </c>
      <c r="I208" s="6">
        <v>45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>
        <v>1684</v>
      </c>
      <c r="AF208" s="4">
        <v>114</v>
      </c>
      <c r="AG208" s="4">
        <v>48</v>
      </c>
    </row>
    <row r="209" spans="1:34" x14ac:dyDescent="0.3">
      <c r="A209" s="4" t="s">
        <v>33</v>
      </c>
      <c r="B209" s="4">
        <v>173</v>
      </c>
      <c r="C209" s="4" t="s">
        <v>41</v>
      </c>
      <c r="D209" s="5" t="s">
        <v>42</v>
      </c>
      <c r="E209" s="6">
        <v>15</v>
      </c>
      <c r="F209" s="6" t="s">
        <v>44</v>
      </c>
      <c r="G209" s="6" t="s">
        <v>39</v>
      </c>
      <c r="H209" s="6">
        <v>68</v>
      </c>
      <c r="I209" s="6">
        <v>45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>
        <v>1634</v>
      </c>
      <c r="AF209" s="4">
        <v>80</v>
      </c>
      <c r="AG209" s="4">
        <v>76</v>
      </c>
    </row>
    <row r="210" spans="1:34" x14ac:dyDescent="0.3">
      <c r="A210" s="4" t="s">
        <v>33</v>
      </c>
      <c r="B210" s="4">
        <v>183</v>
      </c>
      <c r="C210" s="4" t="s">
        <v>41</v>
      </c>
      <c r="D210" s="5" t="s">
        <v>42</v>
      </c>
      <c r="E210" s="6">
        <v>15</v>
      </c>
      <c r="F210" s="6" t="s">
        <v>44</v>
      </c>
      <c r="G210" s="6" t="s">
        <v>39</v>
      </c>
      <c r="H210" s="6">
        <v>69.5</v>
      </c>
      <c r="I210" s="6">
        <v>45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>
        <v>1642</v>
      </c>
      <c r="AF210" s="4">
        <v>72</v>
      </c>
      <c r="AG210" s="4">
        <v>64</v>
      </c>
    </row>
    <row r="211" spans="1:34" x14ac:dyDescent="0.3">
      <c r="A211" s="4" t="s">
        <v>33</v>
      </c>
      <c r="B211" s="4">
        <v>355</v>
      </c>
      <c r="C211" s="4" t="s">
        <v>46</v>
      </c>
      <c r="D211" s="5">
        <v>44256</v>
      </c>
      <c r="E211" s="6">
        <v>21.9</v>
      </c>
      <c r="F211" s="6" t="s">
        <v>44</v>
      </c>
      <c r="G211" s="6" t="s">
        <v>39</v>
      </c>
      <c r="H211" s="6">
        <v>57</v>
      </c>
      <c r="I211" s="6">
        <v>45.1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>
        <v>1748</v>
      </c>
      <c r="AF211" s="4">
        <v>56</v>
      </c>
      <c r="AG211" s="4">
        <v>94</v>
      </c>
    </row>
    <row r="212" spans="1:34" x14ac:dyDescent="0.3">
      <c r="A212" s="4" t="s">
        <v>33</v>
      </c>
      <c r="B212" s="4">
        <v>991</v>
      </c>
      <c r="C212" s="4" t="s">
        <v>302</v>
      </c>
      <c r="D212" s="4" t="s">
        <v>325</v>
      </c>
      <c r="E212" s="6">
        <v>40</v>
      </c>
      <c r="F212" s="6" t="s">
        <v>44</v>
      </c>
      <c r="G212" s="6" t="s">
        <v>39</v>
      </c>
      <c r="H212" s="6">
        <v>62</v>
      </c>
      <c r="I212" s="6">
        <v>45.1</v>
      </c>
      <c r="J212" s="4">
        <v>2</v>
      </c>
      <c r="K212" s="4">
        <v>9.15</v>
      </c>
      <c r="L212" s="4">
        <v>9.1999999999999993</v>
      </c>
      <c r="M212" s="4" t="s">
        <v>349</v>
      </c>
      <c r="N212" s="4" t="s">
        <v>350</v>
      </c>
      <c r="O212" s="4">
        <v>10.64</v>
      </c>
      <c r="P212" s="4">
        <v>11.14</v>
      </c>
      <c r="Q212" s="4">
        <v>3.8</v>
      </c>
      <c r="R212" s="4">
        <v>4.05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>
        <v>1466</v>
      </c>
      <c r="AF212" s="4">
        <v>86</v>
      </c>
      <c r="AG212" s="4">
        <v>88</v>
      </c>
    </row>
    <row r="213" spans="1:34" x14ac:dyDescent="0.3">
      <c r="A213" s="4" t="s">
        <v>33</v>
      </c>
      <c r="B213" s="4">
        <v>537</v>
      </c>
      <c r="C213" s="4" t="s">
        <v>43</v>
      </c>
      <c r="D213" s="5">
        <v>44336</v>
      </c>
      <c r="E213" s="6"/>
      <c r="F213" s="6" t="s">
        <v>44</v>
      </c>
      <c r="G213" s="6" t="s">
        <v>39</v>
      </c>
      <c r="H213" s="6">
        <v>65.3</v>
      </c>
      <c r="I213" s="6">
        <v>45.1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>
        <v>772</v>
      </c>
      <c r="AF213" s="4">
        <v>46</v>
      </c>
      <c r="AG213" s="4"/>
      <c r="AH213" s="14" t="s">
        <v>517</v>
      </c>
    </row>
    <row r="214" spans="1:34" x14ac:dyDescent="0.3">
      <c r="A214" s="4" t="s">
        <v>33</v>
      </c>
      <c r="B214" s="4">
        <v>986</v>
      </c>
      <c r="C214" s="4" t="s">
        <v>302</v>
      </c>
      <c r="D214" s="4" t="s">
        <v>325</v>
      </c>
      <c r="E214" s="6">
        <v>40</v>
      </c>
      <c r="F214" s="6" t="s">
        <v>44</v>
      </c>
      <c r="G214" s="6" t="s">
        <v>40</v>
      </c>
      <c r="H214" s="6">
        <v>66.5</v>
      </c>
      <c r="I214" s="6">
        <v>45.1</v>
      </c>
      <c r="J214" s="4">
        <v>1.86</v>
      </c>
      <c r="K214" s="4">
        <v>9.0500000000000007</v>
      </c>
      <c r="L214" s="4">
        <v>9.4</v>
      </c>
      <c r="M214" s="4" t="s">
        <v>339</v>
      </c>
      <c r="N214" s="4" t="s">
        <v>340</v>
      </c>
      <c r="O214" s="4">
        <v>7.5</v>
      </c>
      <c r="P214" s="4">
        <v>8.1999999999999993</v>
      </c>
      <c r="Q214" s="4">
        <v>4.34</v>
      </c>
      <c r="R214" s="4">
        <v>4.5</v>
      </c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>
        <v>1384</v>
      </c>
      <c r="AF214" s="4">
        <v>80</v>
      </c>
      <c r="AG214" s="4">
        <v>82</v>
      </c>
    </row>
    <row r="215" spans="1:34" x14ac:dyDescent="0.3">
      <c r="A215" s="4" t="s">
        <v>33</v>
      </c>
      <c r="B215" s="4">
        <v>1049</v>
      </c>
      <c r="C215" s="4" t="s">
        <v>302</v>
      </c>
      <c r="D215" s="8">
        <v>44835</v>
      </c>
      <c r="E215" s="6">
        <v>40</v>
      </c>
      <c r="F215" s="6" t="s">
        <v>44</v>
      </c>
      <c r="G215" s="6" t="s">
        <v>39</v>
      </c>
      <c r="H215" s="6">
        <v>66.599999999999994</v>
      </c>
      <c r="I215" s="6">
        <v>45.1</v>
      </c>
      <c r="J215" s="4" t="s">
        <v>201</v>
      </c>
      <c r="K215" s="4">
        <v>3.2</v>
      </c>
      <c r="L215" s="4">
        <v>3.2</v>
      </c>
      <c r="M215" s="4">
        <v>1.4</v>
      </c>
      <c r="N215" s="4">
        <v>1.2</v>
      </c>
      <c r="O215" s="4" t="s">
        <v>201</v>
      </c>
      <c r="P215" s="4" t="s">
        <v>201</v>
      </c>
      <c r="Q215" s="4" t="s">
        <v>201</v>
      </c>
      <c r="R215" s="4">
        <v>0.6</v>
      </c>
      <c r="S215" s="4" t="s">
        <v>201</v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>
        <v>64.400000000000006</v>
      </c>
      <c r="AF215" s="4"/>
      <c r="AG215" s="4"/>
    </row>
    <row r="216" spans="1:34" x14ac:dyDescent="0.3">
      <c r="A216" s="4" t="s">
        <v>33</v>
      </c>
      <c r="B216" s="4">
        <v>377</v>
      </c>
      <c r="C216" s="4" t="s">
        <v>46</v>
      </c>
      <c r="D216" s="5">
        <v>44256</v>
      </c>
      <c r="E216" s="6">
        <v>21.9</v>
      </c>
      <c r="F216" s="6" t="s">
        <v>44</v>
      </c>
      <c r="G216" s="6" t="s">
        <v>39</v>
      </c>
      <c r="H216" s="6">
        <v>67.3</v>
      </c>
      <c r="I216" s="6">
        <v>45.1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>
        <v>1300</v>
      </c>
      <c r="AF216" s="4"/>
      <c r="AG216" s="4">
        <v>68</v>
      </c>
      <c r="AH216" s="14" t="s">
        <v>546</v>
      </c>
    </row>
    <row r="217" spans="1:34" x14ac:dyDescent="0.3">
      <c r="A217" s="4" t="s">
        <v>33</v>
      </c>
      <c r="B217" s="4">
        <v>593</v>
      </c>
      <c r="C217" s="4" t="s">
        <v>43</v>
      </c>
      <c r="D217" s="5">
        <v>44361</v>
      </c>
      <c r="E217" s="6"/>
      <c r="F217" s="6" t="s">
        <v>44</v>
      </c>
      <c r="G217" s="6" t="s">
        <v>39</v>
      </c>
      <c r="H217" s="6">
        <v>69.7</v>
      </c>
      <c r="I217" s="6">
        <v>45.2</v>
      </c>
      <c r="J217" s="4">
        <v>2.06</v>
      </c>
      <c r="K217" s="4">
        <v>8.81</v>
      </c>
      <c r="L217" s="4">
        <v>8.81</v>
      </c>
      <c r="M217" s="4" t="s">
        <v>173</v>
      </c>
      <c r="N217" s="4" t="s">
        <v>174</v>
      </c>
      <c r="O217" s="4" t="s">
        <v>175</v>
      </c>
      <c r="P217" s="4" t="s">
        <v>176</v>
      </c>
      <c r="Q217" s="4">
        <v>8.94</v>
      </c>
      <c r="R217" s="4">
        <v>10.029999999999999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>
        <v>1764</v>
      </c>
      <c r="AF217" s="4"/>
      <c r="AG217" s="4">
        <v>42</v>
      </c>
    </row>
    <row r="218" spans="1:34" x14ac:dyDescent="0.3">
      <c r="A218" s="4" t="s">
        <v>33</v>
      </c>
      <c r="B218" s="4">
        <v>338</v>
      </c>
      <c r="C218" s="4" t="s">
        <v>41</v>
      </c>
      <c r="D218" s="5" t="s">
        <v>42</v>
      </c>
      <c r="E218" s="6">
        <v>24</v>
      </c>
      <c r="F218" s="6" t="s">
        <v>44</v>
      </c>
      <c r="G218" s="6" t="s">
        <v>39</v>
      </c>
      <c r="H218" s="6">
        <v>72.7</v>
      </c>
      <c r="I218" s="6">
        <v>45.2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>
        <v>1560</v>
      </c>
      <c r="AF218" s="4">
        <v>78</v>
      </c>
      <c r="AG218" s="4"/>
      <c r="AH218" s="14" t="s">
        <v>543</v>
      </c>
    </row>
    <row r="219" spans="1:34" x14ac:dyDescent="0.3">
      <c r="A219" s="4" t="s">
        <v>33</v>
      </c>
      <c r="B219" s="4">
        <v>1030</v>
      </c>
      <c r="C219" s="4" t="s">
        <v>302</v>
      </c>
      <c r="D219" s="4" t="s">
        <v>325</v>
      </c>
      <c r="E219" s="6">
        <v>40</v>
      </c>
      <c r="F219" s="6" t="s">
        <v>44</v>
      </c>
      <c r="G219" s="6" t="s">
        <v>39</v>
      </c>
      <c r="H219" s="6">
        <v>59.6</v>
      </c>
      <c r="I219" s="6">
        <v>45.3</v>
      </c>
      <c r="J219" s="4">
        <v>2.2999999999999998</v>
      </c>
      <c r="K219" s="4">
        <v>8.3000000000000007</v>
      </c>
      <c r="L219" s="4">
        <v>8.08</v>
      </c>
      <c r="M219" s="4" t="s">
        <v>390</v>
      </c>
      <c r="N219" s="4" t="s">
        <v>391</v>
      </c>
      <c r="O219" s="4">
        <v>9.4</v>
      </c>
      <c r="P219" s="4">
        <v>8.4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>
        <v>1420</v>
      </c>
      <c r="AF219" s="4">
        <v>44</v>
      </c>
      <c r="AG219" s="4">
        <v>90</v>
      </c>
    </row>
    <row r="220" spans="1:34" x14ac:dyDescent="0.3">
      <c r="A220" s="4" t="s">
        <v>33</v>
      </c>
      <c r="B220" s="4">
        <v>672</v>
      </c>
      <c r="C220" s="4" t="s">
        <v>43</v>
      </c>
      <c r="D220" s="5">
        <v>44438</v>
      </c>
      <c r="E220" s="6">
        <v>40</v>
      </c>
      <c r="F220" s="6" t="s">
        <v>44</v>
      </c>
      <c r="G220" s="6" t="s">
        <v>39</v>
      </c>
      <c r="H220" s="6">
        <v>64</v>
      </c>
      <c r="I220" s="6">
        <v>45.3</v>
      </c>
      <c r="J220" s="4">
        <v>1.8</v>
      </c>
      <c r="K220" s="4">
        <v>7.9</v>
      </c>
      <c r="L220" s="4">
        <v>8.1</v>
      </c>
      <c r="M220" s="4" t="s">
        <v>256</v>
      </c>
      <c r="N220" s="4" t="s">
        <v>257</v>
      </c>
      <c r="O220" s="4">
        <v>6.7</v>
      </c>
      <c r="P220" s="4">
        <v>7.1</v>
      </c>
      <c r="Q220" s="4">
        <v>8.6999999999999993</v>
      </c>
      <c r="R220" s="4" t="s">
        <v>258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>
        <v>1808</v>
      </c>
      <c r="AF220" s="4">
        <v>92</v>
      </c>
      <c r="AG220" s="4">
        <v>122</v>
      </c>
    </row>
    <row r="221" spans="1:34" x14ac:dyDescent="0.3">
      <c r="A221" s="4" t="s">
        <v>33</v>
      </c>
      <c r="B221" s="4">
        <v>683</v>
      </c>
      <c r="C221" s="4" t="s">
        <v>43</v>
      </c>
      <c r="D221" s="5">
        <v>44438</v>
      </c>
      <c r="E221" s="6">
        <v>40</v>
      </c>
      <c r="F221" s="6" t="s">
        <v>44</v>
      </c>
      <c r="G221" s="6" t="s">
        <v>39</v>
      </c>
      <c r="H221" s="6">
        <v>66.2</v>
      </c>
      <c r="I221" s="6">
        <v>45.3</v>
      </c>
      <c r="J221" s="4"/>
      <c r="K221" s="4">
        <v>8.17</v>
      </c>
      <c r="L221" s="4">
        <v>7.14</v>
      </c>
      <c r="M221" s="4" t="s">
        <v>271</v>
      </c>
      <c r="N221" s="4" t="s">
        <v>272</v>
      </c>
      <c r="O221" s="4" t="s">
        <v>273</v>
      </c>
      <c r="P221" s="4" t="s">
        <v>274</v>
      </c>
      <c r="Q221" s="4">
        <v>9.7799999999999994</v>
      </c>
      <c r="R221" s="4">
        <v>8.1199999999999992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>
        <v>1704</v>
      </c>
      <c r="AF221" s="4">
        <v>78</v>
      </c>
      <c r="AG221" s="4">
        <v>112</v>
      </c>
    </row>
    <row r="222" spans="1:34" x14ac:dyDescent="0.3">
      <c r="A222" s="4" t="s">
        <v>33</v>
      </c>
      <c r="B222" s="4">
        <v>339</v>
      </c>
      <c r="C222" s="4" t="s">
        <v>41</v>
      </c>
      <c r="D222" s="5" t="s">
        <v>42</v>
      </c>
      <c r="E222" s="6">
        <v>24</v>
      </c>
      <c r="F222" s="6" t="s">
        <v>44</v>
      </c>
      <c r="G222" s="6" t="s">
        <v>39</v>
      </c>
      <c r="H222" s="6">
        <v>59.5</v>
      </c>
      <c r="I222" s="6">
        <v>45.5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>
        <v>1410</v>
      </c>
      <c r="AF222" s="4">
        <v>70</v>
      </c>
      <c r="AG222" s="4"/>
    </row>
    <row r="223" spans="1:34" x14ac:dyDescent="0.3">
      <c r="A223" s="4" t="s">
        <v>33</v>
      </c>
      <c r="B223" s="4">
        <v>1034</v>
      </c>
      <c r="C223" s="4" t="s">
        <v>302</v>
      </c>
      <c r="D223" s="4" t="s">
        <v>325</v>
      </c>
      <c r="E223" s="6">
        <v>40</v>
      </c>
      <c r="F223" s="6" t="s">
        <v>44</v>
      </c>
      <c r="G223" s="6" t="s">
        <v>39</v>
      </c>
      <c r="H223" s="6">
        <v>63.4</v>
      </c>
      <c r="I223" s="6">
        <v>45.5</v>
      </c>
      <c r="J223" s="4">
        <v>1.85</v>
      </c>
      <c r="K223" s="4">
        <v>8.9499999999999993</v>
      </c>
      <c r="L223" s="4">
        <v>8.36</v>
      </c>
      <c r="M223" s="4" t="s">
        <v>398</v>
      </c>
      <c r="N223" s="4" t="s">
        <v>399</v>
      </c>
      <c r="O223" s="4">
        <v>8.91</v>
      </c>
      <c r="P223" s="4">
        <v>9.25</v>
      </c>
      <c r="Q223" s="4">
        <v>9.06</v>
      </c>
      <c r="R223" s="4">
        <v>9.42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>
        <v>1238</v>
      </c>
      <c r="AF223" s="4" t="s">
        <v>201</v>
      </c>
      <c r="AG223" s="4">
        <v>78</v>
      </c>
    </row>
    <row r="224" spans="1:34" x14ac:dyDescent="0.3">
      <c r="A224" s="4" t="s">
        <v>33</v>
      </c>
      <c r="B224" s="4">
        <v>167</v>
      </c>
      <c r="C224" s="4" t="s">
        <v>41</v>
      </c>
      <c r="D224" s="5" t="s">
        <v>42</v>
      </c>
      <c r="E224" s="6">
        <v>15</v>
      </c>
      <c r="F224" s="6" t="s">
        <v>44</v>
      </c>
      <c r="G224" s="6" t="s">
        <v>39</v>
      </c>
      <c r="H224" s="6">
        <v>66</v>
      </c>
      <c r="I224" s="6">
        <v>45.5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>
        <v>1656</v>
      </c>
      <c r="AF224" s="4">
        <v>54</v>
      </c>
      <c r="AG224" s="4">
        <v>64</v>
      </c>
      <c r="AH224" s="14" t="s">
        <v>506</v>
      </c>
    </row>
    <row r="225" spans="1:34" x14ac:dyDescent="0.3">
      <c r="A225" s="4" t="s">
        <v>33</v>
      </c>
      <c r="B225" s="4">
        <v>1035</v>
      </c>
      <c r="C225" s="4" t="s">
        <v>302</v>
      </c>
      <c r="D225" s="4" t="s">
        <v>325</v>
      </c>
      <c r="E225" s="6">
        <v>40</v>
      </c>
      <c r="F225" s="6" t="s">
        <v>44</v>
      </c>
      <c r="G225" s="6" t="s">
        <v>39</v>
      </c>
      <c r="H225" s="6">
        <v>67.3</v>
      </c>
      <c r="I225" s="6">
        <v>45.5</v>
      </c>
      <c r="J225" s="4">
        <v>2.13</v>
      </c>
      <c r="K225" s="4">
        <v>7.8</v>
      </c>
      <c r="L225" s="4">
        <v>6.7</v>
      </c>
      <c r="M225" s="4" t="s">
        <v>400</v>
      </c>
      <c r="N225" s="4" t="s">
        <v>401</v>
      </c>
      <c r="O225" s="4">
        <v>9.24</v>
      </c>
      <c r="P225" s="4">
        <v>9.1999999999999993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>
        <v>1234</v>
      </c>
      <c r="AF225" s="4">
        <v>8</v>
      </c>
      <c r="AG225" s="4">
        <v>88</v>
      </c>
    </row>
    <row r="226" spans="1:34" x14ac:dyDescent="0.3">
      <c r="A226" s="4" t="s">
        <v>33</v>
      </c>
      <c r="B226" s="4">
        <v>462</v>
      </c>
      <c r="C226" s="4" t="s">
        <v>43</v>
      </c>
      <c r="D226" s="5">
        <v>44336</v>
      </c>
      <c r="E226" s="6"/>
      <c r="F226" s="6" t="s">
        <v>44</v>
      </c>
      <c r="G226" s="6" t="s">
        <v>39</v>
      </c>
      <c r="H226" s="6">
        <v>67.900000000000006</v>
      </c>
      <c r="I226" s="6">
        <v>45.5</v>
      </c>
      <c r="J226" s="4"/>
      <c r="K226" s="4">
        <v>3.5</v>
      </c>
      <c r="L226" s="4">
        <v>3.5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>
        <v>568</v>
      </c>
      <c r="AF226" s="4">
        <v>26</v>
      </c>
      <c r="AG226" s="4"/>
    </row>
    <row r="227" spans="1:34" x14ac:dyDescent="0.3">
      <c r="A227" s="4" t="s">
        <v>33</v>
      </c>
      <c r="B227" s="4">
        <v>204</v>
      </c>
      <c r="C227" s="4" t="s">
        <v>43</v>
      </c>
      <c r="D227" s="5" t="s">
        <v>42</v>
      </c>
      <c r="E227" s="6">
        <v>15</v>
      </c>
      <c r="F227" s="6" t="s">
        <v>44</v>
      </c>
      <c r="G227" s="6" t="s">
        <v>39</v>
      </c>
      <c r="H227" s="6">
        <v>68</v>
      </c>
      <c r="I227" s="6">
        <v>45.5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>
        <v>1444</v>
      </c>
      <c r="AF227" s="4">
        <v>62</v>
      </c>
      <c r="AG227" s="4">
        <v>60</v>
      </c>
    </row>
    <row r="228" spans="1:34" x14ac:dyDescent="0.3">
      <c r="A228" s="4" t="s">
        <v>33</v>
      </c>
      <c r="B228" s="4">
        <v>176</v>
      </c>
      <c r="C228" s="4" t="s">
        <v>41</v>
      </c>
      <c r="D228" s="5" t="s">
        <v>42</v>
      </c>
      <c r="E228" s="6">
        <v>15</v>
      </c>
      <c r="F228" s="6" t="s">
        <v>44</v>
      </c>
      <c r="G228" s="6" t="s">
        <v>39</v>
      </c>
      <c r="H228" s="6">
        <v>68.099999999999994</v>
      </c>
      <c r="I228" s="6">
        <v>45.5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>
        <v>1470</v>
      </c>
      <c r="AF228" s="4">
        <v>66</v>
      </c>
      <c r="AG228" s="4">
        <v>70</v>
      </c>
      <c r="AH228" s="14" t="s">
        <v>510</v>
      </c>
    </row>
    <row r="229" spans="1:34" x14ac:dyDescent="0.3">
      <c r="A229" s="4" t="s">
        <v>33</v>
      </c>
      <c r="B229" s="4">
        <v>964</v>
      </c>
      <c r="C229" s="4" t="s">
        <v>302</v>
      </c>
      <c r="D229" s="4" t="s">
        <v>325</v>
      </c>
      <c r="E229" s="6">
        <v>20</v>
      </c>
      <c r="F229" s="6" t="s">
        <v>44</v>
      </c>
      <c r="G229" s="6" t="s">
        <v>39</v>
      </c>
      <c r="H229" s="6">
        <v>69.099999999999994</v>
      </c>
      <c r="I229" s="6">
        <v>45.5</v>
      </c>
      <c r="J229" s="4" t="s">
        <v>201</v>
      </c>
      <c r="K229" s="4" t="s">
        <v>201</v>
      </c>
      <c r="L229" s="4" t="s">
        <v>201</v>
      </c>
      <c r="M229" s="4" t="s">
        <v>329</v>
      </c>
      <c r="N229" s="4" t="s">
        <v>330</v>
      </c>
      <c r="O229" s="4">
        <v>7.56</v>
      </c>
      <c r="P229" s="4">
        <v>7.45</v>
      </c>
      <c r="Q229" s="4">
        <v>9.4</v>
      </c>
      <c r="R229" s="4">
        <v>9.6999999999999993</v>
      </c>
      <c r="S229" s="4" t="s">
        <v>201</v>
      </c>
      <c r="T229" s="4" t="s">
        <v>201</v>
      </c>
      <c r="U229" s="4" t="s">
        <v>201</v>
      </c>
      <c r="V229" s="4" t="s">
        <v>201</v>
      </c>
      <c r="W229" s="4" t="s">
        <v>201</v>
      </c>
      <c r="X229" s="4" t="s">
        <v>201</v>
      </c>
      <c r="Y229" s="4" t="s">
        <v>201</v>
      </c>
      <c r="Z229" s="4" t="s">
        <v>201</v>
      </c>
      <c r="AA229" s="4" t="s">
        <v>201</v>
      </c>
      <c r="AB229" s="4" t="s">
        <v>201</v>
      </c>
      <c r="AC229" s="4" t="s">
        <v>201</v>
      </c>
      <c r="AD229" s="4" t="s">
        <v>201</v>
      </c>
      <c r="AE229" s="4">
        <v>1130</v>
      </c>
      <c r="AF229" s="4">
        <v>50</v>
      </c>
      <c r="AG229" s="4">
        <v>58</v>
      </c>
    </row>
    <row r="230" spans="1:34" x14ac:dyDescent="0.3">
      <c r="A230" s="4" t="s">
        <v>33</v>
      </c>
      <c r="B230" s="4">
        <v>987</v>
      </c>
      <c r="C230" s="4" t="s">
        <v>302</v>
      </c>
      <c r="D230" s="4" t="s">
        <v>325</v>
      </c>
      <c r="E230" s="6">
        <v>40</v>
      </c>
      <c r="F230" s="6" t="s">
        <v>44</v>
      </c>
      <c r="G230" s="6" t="s">
        <v>39</v>
      </c>
      <c r="H230" s="6">
        <v>69.099999999999994</v>
      </c>
      <c r="I230" s="6">
        <v>45.5</v>
      </c>
      <c r="J230" s="4">
        <v>1.55</v>
      </c>
      <c r="K230" s="4">
        <v>8.6999999999999993</v>
      </c>
      <c r="L230" s="4">
        <v>8.83</v>
      </c>
      <c r="M230" s="4" t="s">
        <v>341</v>
      </c>
      <c r="N230" s="10" t="s">
        <v>342</v>
      </c>
      <c r="O230" s="4">
        <v>8.94</v>
      </c>
      <c r="P230" s="4">
        <v>9.02</v>
      </c>
      <c r="Q230" s="4">
        <v>9.27</v>
      </c>
      <c r="R230" s="4">
        <v>9.31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>
        <v>1550</v>
      </c>
      <c r="AF230" s="4">
        <v>76</v>
      </c>
      <c r="AG230" s="4">
        <v>108</v>
      </c>
    </row>
    <row r="231" spans="1:34" x14ac:dyDescent="0.3">
      <c r="A231" s="4" t="s">
        <v>33</v>
      </c>
      <c r="B231" s="4">
        <v>990</v>
      </c>
      <c r="C231" s="4" t="s">
        <v>302</v>
      </c>
      <c r="D231" s="4" t="s">
        <v>325</v>
      </c>
      <c r="E231" s="6">
        <v>40</v>
      </c>
      <c r="F231" s="6" t="s">
        <v>44</v>
      </c>
      <c r="G231" s="6" t="s">
        <v>39</v>
      </c>
      <c r="H231" s="6">
        <v>60.6</v>
      </c>
      <c r="I231" s="6">
        <v>45.6</v>
      </c>
      <c r="J231" s="4">
        <v>1.4</v>
      </c>
      <c r="K231" s="4">
        <v>7.1</v>
      </c>
      <c r="L231" s="4">
        <v>7.97</v>
      </c>
      <c r="M231" s="4" t="s">
        <v>347</v>
      </c>
      <c r="N231" s="4" t="s">
        <v>348</v>
      </c>
      <c r="O231" s="4">
        <v>8.81</v>
      </c>
      <c r="P231" s="4">
        <v>8.6999999999999993</v>
      </c>
      <c r="Q231" s="4">
        <v>9.9499999999999993</v>
      </c>
      <c r="R231" s="4">
        <v>9.36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>
        <v>1472</v>
      </c>
      <c r="AF231" s="4">
        <v>74</v>
      </c>
      <c r="AG231" s="4">
        <v>76</v>
      </c>
    </row>
    <row r="232" spans="1:34" x14ac:dyDescent="0.3">
      <c r="A232" s="4" t="s">
        <v>33</v>
      </c>
      <c r="B232" s="4">
        <v>697</v>
      </c>
      <c r="C232" s="4" t="s">
        <v>43</v>
      </c>
      <c r="D232" s="5">
        <v>44438</v>
      </c>
      <c r="E232" s="6">
        <v>20</v>
      </c>
      <c r="F232" s="6" t="s">
        <v>44</v>
      </c>
      <c r="G232" s="6" t="s">
        <v>39</v>
      </c>
      <c r="H232" s="6">
        <v>63.7</v>
      </c>
      <c r="I232" s="6">
        <v>45.6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>
        <v>18</v>
      </c>
      <c r="AF232" s="4"/>
      <c r="AG232" s="4"/>
    </row>
    <row r="233" spans="1:34" x14ac:dyDescent="0.3">
      <c r="A233" s="4" t="s">
        <v>33</v>
      </c>
      <c r="B233" s="4">
        <v>992</v>
      </c>
      <c r="C233" s="4" t="s">
        <v>302</v>
      </c>
      <c r="D233" s="4" t="s">
        <v>325</v>
      </c>
      <c r="E233" s="6">
        <v>40</v>
      </c>
      <c r="F233" s="6" t="s">
        <v>44</v>
      </c>
      <c r="G233" s="6" t="s">
        <v>39</v>
      </c>
      <c r="H233" s="6">
        <v>64.099999999999994</v>
      </c>
      <c r="I233" s="6">
        <v>45.6</v>
      </c>
      <c r="J233" s="4">
        <v>1.89</v>
      </c>
      <c r="K233" s="4">
        <v>6.87</v>
      </c>
      <c r="L233" s="4">
        <v>7.25</v>
      </c>
      <c r="M233" s="4" t="s">
        <v>351</v>
      </c>
      <c r="N233" s="4" t="s">
        <v>352</v>
      </c>
      <c r="O233" s="4">
        <v>5.32</v>
      </c>
      <c r="P233" s="4">
        <v>5.6</v>
      </c>
      <c r="Q233" s="4">
        <v>9.77</v>
      </c>
      <c r="R233" s="4">
        <v>9</v>
      </c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>
        <v>1054</v>
      </c>
      <c r="AF233" s="4">
        <v>44</v>
      </c>
      <c r="AG233" s="4">
        <v>18</v>
      </c>
    </row>
    <row r="234" spans="1:34" x14ac:dyDescent="0.3">
      <c r="A234" s="4" t="s">
        <v>33</v>
      </c>
      <c r="B234" s="4">
        <v>694</v>
      </c>
      <c r="C234" s="4" t="s">
        <v>43</v>
      </c>
      <c r="D234" s="5">
        <v>44438</v>
      </c>
      <c r="E234" s="6">
        <v>20</v>
      </c>
      <c r="F234" s="6" t="s">
        <v>44</v>
      </c>
      <c r="G234" s="6" t="s">
        <v>39</v>
      </c>
      <c r="H234" s="6">
        <v>65.7</v>
      </c>
      <c r="I234" s="6">
        <v>45.6</v>
      </c>
      <c r="J234" s="4">
        <v>2.4500000000000002</v>
      </c>
      <c r="K234" s="4">
        <v>8.67</v>
      </c>
      <c r="L234" s="4">
        <v>8.09</v>
      </c>
      <c r="M234" s="4" t="s">
        <v>295</v>
      </c>
      <c r="N234" s="4" t="s">
        <v>296</v>
      </c>
      <c r="O234" s="4">
        <v>6.06</v>
      </c>
      <c r="P234" s="4">
        <v>6.78</v>
      </c>
      <c r="Q234" s="4">
        <v>8.4499999999999993</v>
      </c>
      <c r="R234" s="4">
        <v>8.7799999999999994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>
        <v>1650</v>
      </c>
      <c r="AF234" s="4">
        <v>42</v>
      </c>
      <c r="AG234" s="4">
        <v>88</v>
      </c>
    </row>
    <row r="235" spans="1:34" x14ac:dyDescent="0.3">
      <c r="A235" s="4" t="s">
        <v>33</v>
      </c>
      <c r="B235" s="4">
        <v>413</v>
      </c>
      <c r="C235" s="4" t="s">
        <v>43</v>
      </c>
      <c r="D235" s="5">
        <v>44256</v>
      </c>
      <c r="E235" s="6">
        <v>21.9</v>
      </c>
      <c r="F235" s="6" t="s">
        <v>44</v>
      </c>
      <c r="G235" s="6" t="s">
        <v>39</v>
      </c>
      <c r="H235" s="6">
        <v>66.5</v>
      </c>
      <c r="I235" s="6">
        <v>45.6</v>
      </c>
      <c r="J235" s="4">
        <v>2.14</v>
      </c>
      <c r="K235" s="4">
        <v>8.2899999999999991</v>
      </c>
      <c r="L235" s="4">
        <v>8.2899999999999991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>
        <v>1116</v>
      </c>
      <c r="AF235" s="4">
        <v>30</v>
      </c>
      <c r="AG235" s="4">
        <v>20</v>
      </c>
      <c r="AH235" s="14" t="s">
        <v>517</v>
      </c>
    </row>
    <row r="236" spans="1:34" x14ac:dyDescent="0.3">
      <c r="A236" s="4" t="s">
        <v>33</v>
      </c>
      <c r="B236" s="4">
        <v>1074</v>
      </c>
      <c r="C236" s="4" t="s">
        <v>302</v>
      </c>
      <c r="D236" s="8">
        <v>44835</v>
      </c>
      <c r="E236" s="6">
        <v>40</v>
      </c>
      <c r="F236" s="6" t="s">
        <v>44</v>
      </c>
      <c r="G236" s="6" t="s">
        <v>39</v>
      </c>
      <c r="H236" s="6">
        <v>66.599999999999994</v>
      </c>
      <c r="I236" s="6">
        <v>45.6</v>
      </c>
      <c r="J236" s="4">
        <v>1.44</v>
      </c>
      <c r="K236" s="4">
        <v>8.18</v>
      </c>
      <c r="L236" s="4">
        <v>7.97</v>
      </c>
      <c r="M236" s="4" t="s">
        <v>433</v>
      </c>
      <c r="N236" s="4" t="s">
        <v>434</v>
      </c>
      <c r="O236" s="4">
        <v>7.62</v>
      </c>
      <c r="P236" s="4">
        <v>7.63</v>
      </c>
      <c r="Q236" s="4" t="s">
        <v>201</v>
      </c>
      <c r="R236" s="4" t="s">
        <v>201</v>
      </c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>
        <v>1132</v>
      </c>
      <c r="AF236" s="4">
        <v>40</v>
      </c>
      <c r="AG236" s="4">
        <v>48</v>
      </c>
    </row>
    <row r="237" spans="1:34" x14ac:dyDescent="0.3">
      <c r="A237" s="4" t="s">
        <v>33</v>
      </c>
      <c r="B237" s="4">
        <v>1065</v>
      </c>
      <c r="C237" s="4" t="s">
        <v>302</v>
      </c>
      <c r="D237" s="8">
        <v>44835</v>
      </c>
      <c r="E237" s="6">
        <v>20</v>
      </c>
      <c r="F237" s="6" t="s">
        <v>44</v>
      </c>
      <c r="G237" s="6" t="s">
        <v>39</v>
      </c>
      <c r="H237" s="6">
        <v>66.7</v>
      </c>
      <c r="I237" s="6">
        <v>45.6</v>
      </c>
      <c r="J237" s="4">
        <v>2.15</v>
      </c>
      <c r="K237" s="4">
        <v>8.4700000000000006</v>
      </c>
      <c r="L237" s="4">
        <v>8.33</v>
      </c>
      <c r="M237" s="4" t="s">
        <v>416</v>
      </c>
      <c r="N237" s="4" t="s">
        <v>417</v>
      </c>
      <c r="O237" s="4">
        <v>8.14</v>
      </c>
      <c r="P237" s="4">
        <v>8.1999999999999993</v>
      </c>
      <c r="Q237" s="4" t="s">
        <v>201</v>
      </c>
      <c r="R237" s="4" t="s">
        <v>201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>
        <v>1628</v>
      </c>
      <c r="AF237" s="4">
        <v>64</v>
      </c>
      <c r="AG237" s="4">
        <v>74</v>
      </c>
    </row>
    <row r="238" spans="1:34" x14ac:dyDescent="0.3">
      <c r="A238" s="4" t="s">
        <v>33</v>
      </c>
      <c r="B238" s="4">
        <v>1118</v>
      </c>
      <c r="C238" s="4" t="s">
        <v>302</v>
      </c>
      <c r="D238" s="11" t="s">
        <v>447</v>
      </c>
      <c r="E238" s="13">
        <v>45268</v>
      </c>
      <c r="F238" s="6" t="s">
        <v>44</v>
      </c>
      <c r="G238" s="6" t="s">
        <v>39</v>
      </c>
      <c r="H238" s="6">
        <v>66.7</v>
      </c>
      <c r="I238" s="6">
        <v>45.6</v>
      </c>
      <c r="J238" s="4">
        <v>2.1800000000000002</v>
      </c>
      <c r="K238" s="4">
        <v>8.18</v>
      </c>
      <c r="L238" s="4">
        <v>8</v>
      </c>
      <c r="M238" s="4" t="s">
        <v>476</v>
      </c>
      <c r="N238" s="4" t="s">
        <v>477</v>
      </c>
      <c r="O238" s="4">
        <v>7.89</v>
      </c>
      <c r="P238" s="4">
        <v>7.91</v>
      </c>
      <c r="Q238" s="4">
        <v>12.78</v>
      </c>
      <c r="R238" s="4">
        <v>13.66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>
        <v>1298</v>
      </c>
      <c r="AF238" s="4">
        <v>138</v>
      </c>
      <c r="AG238" s="4">
        <v>50</v>
      </c>
    </row>
    <row r="239" spans="1:34" x14ac:dyDescent="0.3">
      <c r="A239" s="4" t="s">
        <v>33</v>
      </c>
      <c r="B239" s="4">
        <v>1069</v>
      </c>
      <c r="C239" s="4" t="s">
        <v>302</v>
      </c>
      <c r="D239" s="8">
        <v>44835</v>
      </c>
      <c r="E239" s="6">
        <v>20</v>
      </c>
      <c r="F239" s="6" t="s">
        <v>44</v>
      </c>
      <c r="G239" s="6" t="s">
        <v>39</v>
      </c>
      <c r="H239" s="6">
        <v>67.099999999999994</v>
      </c>
      <c r="I239" s="6">
        <v>45.6</v>
      </c>
      <c r="J239" s="4">
        <v>1.82</v>
      </c>
      <c r="K239" s="4">
        <v>6.21</v>
      </c>
      <c r="L239" s="4">
        <v>9.31</v>
      </c>
      <c r="M239" s="4" t="s">
        <v>424</v>
      </c>
      <c r="N239" s="4" t="s">
        <v>425</v>
      </c>
      <c r="O239" s="4">
        <v>5.03</v>
      </c>
      <c r="P239" s="4">
        <v>5.08</v>
      </c>
      <c r="Q239" s="4" t="s">
        <v>201</v>
      </c>
      <c r="R239" s="4" t="s">
        <v>201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>
        <v>1102</v>
      </c>
      <c r="AF239" s="4">
        <v>58</v>
      </c>
      <c r="AG239" s="4">
        <v>18</v>
      </c>
    </row>
    <row r="240" spans="1:34" x14ac:dyDescent="0.3">
      <c r="A240" s="4" t="s">
        <v>33</v>
      </c>
      <c r="B240" s="4">
        <v>496</v>
      </c>
      <c r="C240" s="4" t="s">
        <v>43</v>
      </c>
      <c r="D240" s="5">
        <v>44336</v>
      </c>
      <c r="E240" s="6"/>
      <c r="F240" s="6" t="s">
        <v>44</v>
      </c>
      <c r="G240" s="6" t="s">
        <v>39</v>
      </c>
      <c r="H240" s="6">
        <v>67.8</v>
      </c>
      <c r="I240" s="6">
        <v>45.6</v>
      </c>
      <c r="J240" s="4"/>
      <c r="K240" s="4">
        <v>1.3</v>
      </c>
      <c r="L240" s="4">
        <v>1.3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>
        <v>446</v>
      </c>
      <c r="AF240" s="4">
        <v>40</v>
      </c>
      <c r="AG240" s="4"/>
    </row>
    <row r="241" spans="1:34" x14ac:dyDescent="0.3">
      <c r="A241" s="4" t="s">
        <v>33</v>
      </c>
      <c r="B241" s="4">
        <v>1072</v>
      </c>
      <c r="C241" s="4" t="s">
        <v>302</v>
      </c>
      <c r="D241" s="8">
        <v>44835</v>
      </c>
      <c r="E241" s="6">
        <v>40</v>
      </c>
      <c r="F241" s="6" t="s">
        <v>44</v>
      </c>
      <c r="G241" s="6" t="s">
        <v>40</v>
      </c>
      <c r="H241" s="6">
        <v>65.5</v>
      </c>
      <c r="I241" s="6">
        <v>45.7</v>
      </c>
      <c r="J241" s="4">
        <v>1.74</v>
      </c>
      <c r="K241" s="4">
        <v>7.8</v>
      </c>
      <c r="L241" s="4">
        <v>7.96</v>
      </c>
      <c r="M241" s="4" t="s">
        <v>429</v>
      </c>
      <c r="N241" s="4" t="s">
        <v>430</v>
      </c>
      <c r="O241" s="4">
        <v>5.2</v>
      </c>
      <c r="P241" s="4">
        <v>4.8</v>
      </c>
      <c r="Q241" s="4" t="s">
        <v>201</v>
      </c>
      <c r="R241" s="4" t="s">
        <v>201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>
        <v>1260</v>
      </c>
      <c r="AF241" s="4">
        <v>70</v>
      </c>
      <c r="AG241" s="4">
        <v>48</v>
      </c>
    </row>
    <row r="242" spans="1:34" x14ac:dyDescent="0.3">
      <c r="A242" s="4" t="s">
        <v>33</v>
      </c>
      <c r="B242" s="4">
        <v>848</v>
      </c>
      <c r="C242" s="4" t="s">
        <v>303</v>
      </c>
      <c r="D242" s="5">
        <v>44480</v>
      </c>
      <c r="E242" s="6">
        <v>40</v>
      </c>
      <c r="F242" s="6" t="s">
        <v>44</v>
      </c>
      <c r="G242" s="6" t="s">
        <v>39</v>
      </c>
      <c r="H242" s="6">
        <v>67.400000000000006</v>
      </c>
      <c r="I242" s="6">
        <v>45.7</v>
      </c>
      <c r="J242" s="4">
        <v>1.4</v>
      </c>
      <c r="K242" s="4">
        <v>8.1999999999999993</v>
      </c>
      <c r="L242" s="4">
        <v>7.17</v>
      </c>
      <c r="M242" s="4">
        <v>5.6</v>
      </c>
      <c r="N242" s="4">
        <v>5.62</v>
      </c>
      <c r="O242" s="4">
        <v>10.199999999999999</v>
      </c>
      <c r="P242" s="4">
        <v>10.64</v>
      </c>
      <c r="Q242" s="4">
        <v>9.4600000000000009</v>
      </c>
      <c r="R242" s="4">
        <v>10.11</v>
      </c>
      <c r="S242" s="4"/>
      <c r="T242" s="4"/>
      <c r="U242" s="4"/>
      <c r="V242" s="4"/>
      <c r="W242" s="4" t="s">
        <v>201</v>
      </c>
      <c r="X242" s="4" t="s">
        <v>201</v>
      </c>
      <c r="Y242" s="4" t="s">
        <v>201</v>
      </c>
      <c r="Z242" s="4" t="s">
        <v>201</v>
      </c>
      <c r="AA242" s="4"/>
      <c r="AB242" s="4"/>
      <c r="AC242" s="4"/>
      <c r="AD242" s="4"/>
      <c r="AE242" s="4">
        <v>2062</v>
      </c>
      <c r="AF242" s="4">
        <v>98</v>
      </c>
      <c r="AG242" s="4">
        <v>152</v>
      </c>
    </row>
    <row r="243" spans="1:34" x14ac:dyDescent="0.3">
      <c r="A243" s="4" t="s">
        <v>33</v>
      </c>
      <c r="B243" s="4">
        <v>224</v>
      </c>
      <c r="C243" s="4" t="s">
        <v>43</v>
      </c>
      <c r="D243" s="5" t="s">
        <v>42</v>
      </c>
      <c r="E243" s="6">
        <v>15</v>
      </c>
      <c r="F243" s="6" t="s">
        <v>44</v>
      </c>
      <c r="G243" s="6" t="s">
        <v>39</v>
      </c>
      <c r="H243" s="6">
        <v>67.599999999999994</v>
      </c>
      <c r="I243" s="6">
        <v>45.7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>
        <v>1722</v>
      </c>
      <c r="AF243" s="4">
        <v>56</v>
      </c>
      <c r="AG243" s="4">
        <v>106</v>
      </c>
      <c r="AH243" t="s">
        <v>516</v>
      </c>
    </row>
    <row r="244" spans="1:34" x14ac:dyDescent="0.3">
      <c r="A244" s="4" t="s">
        <v>33</v>
      </c>
      <c r="B244" s="4">
        <v>983</v>
      </c>
      <c r="C244" s="4" t="s">
        <v>302</v>
      </c>
      <c r="D244" s="4" t="s">
        <v>325</v>
      </c>
      <c r="E244" s="6">
        <v>40</v>
      </c>
      <c r="F244" s="6" t="s">
        <v>44</v>
      </c>
      <c r="G244" s="6" t="s">
        <v>39</v>
      </c>
      <c r="H244" s="6">
        <v>68.5</v>
      </c>
      <c r="I244" s="6">
        <v>45.7</v>
      </c>
      <c r="J244" s="4">
        <v>1.66</v>
      </c>
      <c r="K244" s="4">
        <v>8.48</v>
      </c>
      <c r="L244" s="4">
        <v>9.2200000000000006</v>
      </c>
      <c r="M244" s="4" t="s">
        <v>335</v>
      </c>
      <c r="N244" s="4" t="s">
        <v>336</v>
      </c>
      <c r="O244" s="4">
        <v>9.6999999999999993</v>
      </c>
      <c r="P244" s="4">
        <v>9.8000000000000007</v>
      </c>
      <c r="Q244" s="4">
        <v>9.3000000000000007</v>
      </c>
      <c r="R244" s="4">
        <v>9.5</v>
      </c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>
        <v>1902</v>
      </c>
      <c r="AF244" s="4">
        <v>66</v>
      </c>
      <c r="AG244" s="4">
        <v>146</v>
      </c>
    </row>
    <row r="245" spans="1:34" x14ac:dyDescent="0.3">
      <c r="A245" s="4" t="s">
        <v>33</v>
      </c>
      <c r="B245" s="4">
        <v>988</v>
      </c>
      <c r="C245" s="4" t="s">
        <v>302</v>
      </c>
      <c r="D245" s="4" t="s">
        <v>325</v>
      </c>
      <c r="E245" s="6">
        <v>40</v>
      </c>
      <c r="F245" s="6" t="s">
        <v>44</v>
      </c>
      <c r="G245" s="6" t="s">
        <v>39</v>
      </c>
      <c r="H245" s="6">
        <v>69.8</v>
      </c>
      <c r="I245" s="6">
        <v>45.7</v>
      </c>
      <c r="J245" s="4">
        <v>1.9</v>
      </c>
      <c r="K245" s="4">
        <v>8.1</v>
      </c>
      <c r="L245" s="4">
        <v>8.3000000000000007</v>
      </c>
      <c r="M245" s="4" t="s">
        <v>343</v>
      </c>
      <c r="N245" s="4" t="s">
        <v>344</v>
      </c>
      <c r="O245" s="4">
        <v>7.6</v>
      </c>
      <c r="P245" s="4">
        <v>7.9</v>
      </c>
      <c r="Q245" s="4">
        <v>3.93</v>
      </c>
      <c r="R245" s="4">
        <v>4.34</v>
      </c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>
        <v>1304</v>
      </c>
      <c r="AF245" s="4">
        <v>80</v>
      </c>
      <c r="AG245" s="4">
        <v>62</v>
      </c>
    </row>
    <row r="246" spans="1:34" x14ac:dyDescent="0.3">
      <c r="A246" s="4" t="s">
        <v>33</v>
      </c>
      <c r="B246" s="4">
        <v>1116</v>
      </c>
      <c r="C246" s="4" t="s">
        <v>302</v>
      </c>
      <c r="D246" s="11" t="s">
        <v>447</v>
      </c>
      <c r="E246" s="13">
        <v>45268</v>
      </c>
      <c r="F246" s="6" t="s">
        <v>44</v>
      </c>
      <c r="G246" s="6" t="s">
        <v>39</v>
      </c>
      <c r="H246" s="6">
        <v>65.2</v>
      </c>
      <c r="I246" s="6">
        <v>45.8</v>
      </c>
      <c r="J246" s="4">
        <v>1.88</v>
      </c>
      <c r="K246" s="4">
        <v>8.23</v>
      </c>
      <c r="L246" s="4">
        <v>7.98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>
        <v>1130</v>
      </c>
      <c r="AF246" s="4"/>
      <c r="AG246" s="4"/>
    </row>
    <row r="247" spans="1:34" x14ac:dyDescent="0.3">
      <c r="A247" s="4" t="s">
        <v>33</v>
      </c>
      <c r="B247" s="4">
        <v>585</v>
      </c>
      <c r="C247" s="4" t="s">
        <v>43</v>
      </c>
      <c r="D247" s="5">
        <v>44361</v>
      </c>
      <c r="E247" s="6"/>
      <c r="F247" s="6" t="s">
        <v>44</v>
      </c>
      <c r="G247" s="6" t="s">
        <v>39</v>
      </c>
      <c r="H247" s="6">
        <v>68.900000000000006</v>
      </c>
      <c r="I247" s="6">
        <v>45.8</v>
      </c>
      <c r="J247" s="4">
        <v>1.34</v>
      </c>
      <c r="K247" s="4">
        <v>9.3000000000000007</v>
      </c>
      <c r="L247" s="4">
        <v>8.8800000000000008</v>
      </c>
      <c r="M247" s="4">
        <v>7.8</v>
      </c>
      <c r="N247" s="4">
        <v>8.1</v>
      </c>
      <c r="O247" s="4">
        <v>7.9</v>
      </c>
      <c r="P247" s="4">
        <v>7.7</v>
      </c>
      <c r="Q247" s="4">
        <v>9</v>
      </c>
      <c r="R247" s="4">
        <v>10.5</v>
      </c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>
        <v>2140</v>
      </c>
      <c r="AF247" s="4">
        <v>106</v>
      </c>
      <c r="AG247" s="4">
        <v>154</v>
      </c>
    </row>
    <row r="248" spans="1:34" x14ac:dyDescent="0.3">
      <c r="A248" s="4" t="s">
        <v>33</v>
      </c>
      <c r="B248" s="4">
        <v>310</v>
      </c>
      <c r="C248" s="4" t="s">
        <v>41</v>
      </c>
      <c r="D248" s="5" t="s">
        <v>42</v>
      </c>
      <c r="E248" s="6">
        <v>24</v>
      </c>
      <c r="F248" s="6" t="s">
        <v>44</v>
      </c>
      <c r="G248" s="6" t="s">
        <v>39</v>
      </c>
      <c r="H248" s="6">
        <v>54.4</v>
      </c>
      <c r="I248" s="6">
        <v>46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>
        <v>1372</v>
      </c>
      <c r="AF248" s="4">
        <v>77</v>
      </c>
      <c r="AG248" s="4"/>
      <c r="AH248" s="14" t="s">
        <v>537</v>
      </c>
    </row>
    <row r="249" spans="1:34" x14ac:dyDescent="0.3">
      <c r="A249" s="4" t="s">
        <v>33</v>
      </c>
      <c r="B249" s="4">
        <v>379</v>
      </c>
      <c r="C249" s="4" t="s">
        <v>46</v>
      </c>
      <c r="D249" s="5">
        <v>44256</v>
      </c>
      <c r="E249" s="6">
        <v>21.9</v>
      </c>
      <c r="F249" s="6" t="s">
        <v>44</v>
      </c>
      <c r="G249" s="6" t="s">
        <v>39</v>
      </c>
      <c r="H249" s="6">
        <v>62.2</v>
      </c>
      <c r="I249" s="6">
        <v>46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>
        <v>1642</v>
      </c>
      <c r="AF249" s="4">
        <v>72</v>
      </c>
      <c r="AG249" s="4">
        <v>130</v>
      </c>
    </row>
    <row r="250" spans="1:34" x14ac:dyDescent="0.3">
      <c r="A250" s="4" t="s">
        <v>33</v>
      </c>
      <c r="B250" s="4">
        <v>1077</v>
      </c>
      <c r="C250" s="4" t="s">
        <v>302</v>
      </c>
      <c r="D250" s="8">
        <v>44835</v>
      </c>
      <c r="E250" s="6">
        <v>20</v>
      </c>
      <c r="F250" s="6" t="s">
        <v>44</v>
      </c>
      <c r="G250" s="6" t="s">
        <v>39</v>
      </c>
      <c r="H250" s="6">
        <v>63.6</v>
      </c>
      <c r="I250" s="6">
        <v>46</v>
      </c>
      <c r="J250" s="4">
        <v>1.87</v>
      </c>
      <c r="K250" s="4">
        <v>7.2</v>
      </c>
      <c r="L250" s="4">
        <v>7.3</v>
      </c>
      <c r="M250" s="4" t="s">
        <v>440</v>
      </c>
      <c r="N250" s="4" t="s">
        <v>441</v>
      </c>
      <c r="O250" s="4">
        <v>7.99</v>
      </c>
      <c r="P250" s="4">
        <v>7.8</v>
      </c>
      <c r="Q250" s="4">
        <v>8.48</v>
      </c>
      <c r="R250" s="4">
        <v>9.1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>
        <v>1460</v>
      </c>
      <c r="AF250" s="4">
        <v>68</v>
      </c>
      <c r="AG250" s="4">
        <v>74</v>
      </c>
    </row>
    <row r="251" spans="1:34" x14ac:dyDescent="0.3">
      <c r="A251" s="4" t="s">
        <v>33</v>
      </c>
      <c r="B251" s="4">
        <v>361</v>
      </c>
      <c r="C251" s="4" t="s">
        <v>46</v>
      </c>
      <c r="D251" s="5">
        <v>44256</v>
      </c>
      <c r="E251" s="6">
        <v>21.9</v>
      </c>
      <c r="F251" s="6" t="s">
        <v>44</v>
      </c>
      <c r="G251" s="6" t="s">
        <v>39</v>
      </c>
      <c r="H251" s="6">
        <v>66</v>
      </c>
      <c r="I251" s="6">
        <v>46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>
        <v>1408</v>
      </c>
      <c r="AF251" s="4">
        <v>94</v>
      </c>
      <c r="AG251" s="4">
        <v>46</v>
      </c>
    </row>
    <row r="252" spans="1:34" x14ac:dyDescent="0.3">
      <c r="A252" s="4" t="s">
        <v>33</v>
      </c>
      <c r="B252" s="4">
        <v>1097</v>
      </c>
      <c r="C252" s="4" t="s">
        <v>302</v>
      </c>
      <c r="D252" s="11" t="s">
        <v>447</v>
      </c>
      <c r="E252" s="13">
        <v>45207</v>
      </c>
      <c r="F252" s="6" t="s">
        <v>44</v>
      </c>
      <c r="G252" s="6" t="s">
        <v>39</v>
      </c>
      <c r="H252" s="6">
        <v>67.3</v>
      </c>
      <c r="I252" s="6">
        <v>46</v>
      </c>
      <c r="J252" s="4">
        <v>1.8</v>
      </c>
      <c r="K252" s="4">
        <v>7.1</v>
      </c>
      <c r="L252" s="4">
        <v>7.6</v>
      </c>
      <c r="M252" s="4" t="s">
        <v>451</v>
      </c>
      <c r="N252" s="4" t="s">
        <v>452</v>
      </c>
      <c r="O252" s="4">
        <v>9.14</v>
      </c>
      <c r="P252" s="4">
        <v>8.6999999999999993</v>
      </c>
      <c r="Q252" s="4">
        <v>13.33</v>
      </c>
      <c r="R252" s="4">
        <v>13.3</v>
      </c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>
        <v>1212</v>
      </c>
      <c r="AF252" s="4">
        <v>44</v>
      </c>
      <c r="AG252" s="4">
        <v>64</v>
      </c>
    </row>
    <row r="253" spans="1:34" x14ac:dyDescent="0.3">
      <c r="A253" s="4" t="s">
        <v>33</v>
      </c>
      <c r="B253" s="4">
        <v>1236</v>
      </c>
      <c r="C253" s="4" t="s">
        <v>492</v>
      </c>
      <c r="D253" s="5"/>
      <c r="E253" s="6"/>
      <c r="F253" s="6" t="s">
        <v>44</v>
      </c>
      <c r="G253" s="6" t="s">
        <v>39</v>
      </c>
      <c r="H253" s="6">
        <v>67.8</v>
      </c>
      <c r="I253" s="6">
        <v>46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4" x14ac:dyDescent="0.3">
      <c r="A254" s="4" t="s">
        <v>33</v>
      </c>
      <c r="B254" s="4">
        <v>191</v>
      </c>
      <c r="C254" s="4" t="s">
        <v>41</v>
      </c>
      <c r="D254" s="5" t="s">
        <v>42</v>
      </c>
      <c r="E254" s="6">
        <v>15</v>
      </c>
      <c r="F254" s="6" t="s">
        <v>44</v>
      </c>
      <c r="G254" s="6" t="s">
        <v>39</v>
      </c>
      <c r="H254" s="6">
        <v>68</v>
      </c>
      <c r="I254" s="6">
        <v>46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>
        <v>1942</v>
      </c>
      <c r="AF254" s="4">
        <v>100</v>
      </c>
      <c r="AG254" s="4">
        <v>56</v>
      </c>
      <c r="AH254" s="14" t="s">
        <v>516</v>
      </c>
    </row>
    <row r="255" spans="1:34" x14ac:dyDescent="0.3">
      <c r="A255" s="4" t="s">
        <v>33</v>
      </c>
      <c r="B255" s="4">
        <v>380</v>
      </c>
      <c r="C255" s="4" t="s">
        <v>46</v>
      </c>
      <c r="D255" s="5">
        <v>44256</v>
      </c>
      <c r="E255" s="6">
        <v>21.9</v>
      </c>
      <c r="F255" s="6" t="s">
        <v>44</v>
      </c>
      <c r="G255" s="6" t="s">
        <v>39</v>
      </c>
      <c r="H255" s="6">
        <v>68</v>
      </c>
      <c r="I255" s="6">
        <v>46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>
        <v>1094</v>
      </c>
      <c r="AF255" s="4">
        <v>52</v>
      </c>
      <c r="AG255" s="4">
        <v>24</v>
      </c>
      <c r="AH255" s="14" t="s">
        <v>547</v>
      </c>
    </row>
    <row r="256" spans="1:34" x14ac:dyDescent="0.3">
      <c r="A256" s="4" t="s">
        <v>33</v>
      </c>
      <c r="B256" s="4">
        <v>1096</v>
      </c>
      <c r="C256" s="4" t="s">
        <v>302</v>
      </c>
      <c r="D256" s="11" t="s">
        <v>447</v>
      </c>
      <c r="E256" s="13">
        <v>45207</v>
      </c>
      <c r="F256" s="6" t="s">
        <v>44</v>
      </c>
      <c r="G256" s="6" t="s">
        <v>39</v>
      </c>
      <c r="H256" s="6">
        <v>70.2</v>
      </c>
      <c r="I256" s="6">
        <v>46</v>
      </c>
      <c r="J256" s="4">
        <v>2.1</v>
      </c>
      <c r="K256" s="4">
        <v>9</v>
      </c>
      <c r="L256" s="4" t="s">
        <v>201</v>
      </c>
      <c r="M256" s="4" t="s">
        <v>201</v>
      </c>
      <c r="N256" s="4" t="s">
        <v>201</v>
      </c>
      <c r="O256" s="4" t="s">
        <v>201</v>
      </c>
      <c r="P256" s="4" t="s">
        <v>201</v>
      </c>
      <c r="Q256" s="4" t="s">
        <v>201</v>
      </c>
      <c r="R256" s="4" t="s">
        <v>201</v>
      </c>
      <c r="S256" s="4" t="s">
        <v>201</v>
      </c>
      <c r="T256" s="4" t="s">
        <v>201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>
        <v>138</v>
      </c>
      <c r="AF256" s="4">
        <v>38</v>
      </c>
      <c r="AG256" s="4">
        <v>72</v>
      </c>
    </row>
    <row r="257" spans="1:34" x14ac:dyDescent="0.3">
      <c r="A257" s="4" t="s">
        <v>33</v>
      </c>
      <c r="B257" s="4">
        <v>646</v>
      </c>
      <c r="C257" s="4" t="s">
        <v>36</v>
      </c>
      <c r="D257" s="5" t="s">
        <v>204</v>
      </c>
      <c r="E257" s="6">
        <v>20</v>
      </c>
      <c r="F257" s="6" t="s">
        <v>44</v>
      </c>
      <c r="G257" s="6" t="s">
        <v>39</v>
      </c>
      <c r="H257" s="6">
        <v>65.599999999999994</v>
      </c>
      <c r="I257" s="6">
        <v>46.1</v>
      </c>
      <c r="J257" s="4">
        <v>2.1</v>
      </c>
      <c r="K257" s="4">
        <v>8</v>
      </c>
      <c r="L257" s="4">
        <v>7.6</v>
      </c>
      <c r="M257" s="4">
        <v>4.0999999999999996</v>
      </c>
      <c r="N257" s="4">
        <v>4.5</v>
      </c>
      <c r="O257" s="4">
        <v>4.9000000000000004</v>
      </c>
      <c r="P257" s="4">
        <v>4</v>
      </c>
      <c r="Q257" s="4">
        <v>7.1</v>
      </c>
      <c r="R257" s="4">
        <v>7.1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>
        <v>1.262</v>
      </c>
      <c r="AF257" s="4">
        <v>7.1999999999999995E-2</v>
      </c>
      <c r="AG257" s="4">
        <v>3.2000000000000001E-2</v>
      </c>
    </row>
    <row r="258" spans="1:34" x14ac:dyDescent="0.3">
      <c r="A258" s="4" t="s">
        <v>33</v>
      </c>
      <c r="B258" s="4">
        <v>989</v>
      </c>
      <c r="C258" s="4" t="s">
        <v>302</v>
      </c>
      <c r="D258" s="4" t="s">
        <v>325</v>
      </c>
      <c r="E258" s="6">
        <v>40</v>
      </c>
      <c r="F258" s="6" t="s">
        <v>44</v>
      </c>
      <c r="G258" s="6" t="s">
        <v>39</v>
      </c>
      <c r="H258" s="6">
        <v>66.8</v>
      </c>
      <c r="I258" s="6">
        <v>46.1</v>
      </c>
      <c r="J258" s="4">
        <v>1.92</v>
      </c>
      <c r="K258" s="4">
        <v>8</v>
      </c>
      <c r="L258" s="4">
        <v>8.43</v>
      </c>
      <c r="M258" s="4" t="s">
        <v>345</v>
      </c>
      <c r="N258" s="4" t="s">
        <v>346</v>
      </c>
      <c r="O258" s="4">
        <v>9.6</v>
      </c>
      <c r="P258" s="4">
        <v>9.31</v>
      </c>
      <c r="Q258" s="4">
        <v>12.32</v>
      </c>
      <c r="R258" s="4">
        <v>12.44</v>
      </c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>
        <v>1332</v>
      </c>
      <c r="AF258" s="4">
        <v>66</v>
      </c>
      <c r="AG258" s="4">
        <v>82</v>
      </c>
    </row>
    <row r="259" spans="1:34" x14ac:dyDescent="0.3">
      <c r="A259" s="4" t="s">
        <v>33</v>
      </c>
      <c r="B259" s="4">
        <v>1086</v>
      </c>
      <c r="C259" s="4" t="s">
        <v>302</v>
      </c>
      <c r="D259" s="11" t="s">
        <v>437</v>
      </c>
      <c r="E259" s="6">
        <v>36</v>
      </c>
      <c r="F259" s="6" t="s">
        <v>44</v>
      </c>
      <c r="G259" s="6" t="s">
        <v>40</v>
      </c>
      <c r="H259" s="6">
        <v>68.5</v>
      </c>
      <c r="I259" s="6">
        <v>46.1</v>
      </c>
      <c r="J259" s="4" t="s">
        <v>201</v>
      </c>
      <c r="K259" s="4" t="s">
        <v>201</v>
      </c>
      <c r="L259" s="4" t="s">
        <v>201</v>
      </c>
      <c r="M259" s="4" t="s">
        <v>201</v>
      </c>
      <c r="N259" s="4" t="s">
        <v>201</v>
      </c>
      <c r="O259" s="4" t="s">
        <v>201</v>
      </c>
      <c r="P259" s="4" t="s">
        <v>201</v>
      </c>
      <c r="Q259" s="4" t="s">
        <v>201</v>
      </c>
      <c r="R259" s="4" t="s">
        <v>201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>
        <v>1774</v>
      </c>
      <c r="AF259" s="4"/>
      <c r="AG259" s="4"/>
    </row>
    <row r="260" spans="1:34" x14ac:dyDescent="0.3">
      <c r="A260" s="4" t="s">
        <v>33</v>
      </c>
      <c r="B260" s="4">
        <v>364</v>
      </c>
      <c r="C260" s="4" t="s">
        <v>46</v>
      </c>
      <c r="D260" s="5">
        <v>44256</v>
      </c>
      <c r="E260" s="6">
        <v>21.9</v>
      </c>
      <c r="F260" s="6" t="s">
        <v>44</v>
      </c>
      <c r="G260" s="6" t="s">
        <v>39</v>
      </c>
      <c r="H260" s="6">
        <v>70.3</v>
      </c>
      <c r="I260" s="6">
        <v>46.1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>
        <v>1224</v>
      </c>
      <c r="AF260" s="4">
        <v>64</v>
      </c>
      <c r="AG260" s="4">
        <v>12</v>
      </c>
    </row>
    <row r="261" spans="1:34" x14ac:dyDescent="0.3">
      <c r="A261" s="4" t="s">
        <v>33</v>
      </c>
      <c r="B261" s="4">
        <v>466</v>
      </c>
      <c r="C261" s="4" t="s">
        <v>43</v>
      </c>
      <c r="D261" s="5">
        <v>44336</v>
      </c>
      <c r="E261" s="6"/>
      <c r="F261" s="6" t="s">
        <v>44</v>
      </c>
      <c r="G261" s="6" t="s">
        <v>39</v>
      </c>
      <c r="H261" s="6">
        <v>59.8</v>
      </c>
      <c r="I261" s="6">
        <v>46.2</v>
      </c>
      <c r="J261" s="4">
        <v>2.1</v>
      </c>
      <c r="K261" s="4">
        <v>9</v>
      </c>
      <c r="L261" s="4">
        <v>8.4</v>
      </c>
      <c r="M261" s="4">
        <v>7.9</v>
      </c>
      <c r="N261" s="4">
        <v>7.9</v>
      </c>
      <c r="O261" s="4"/>
      <c r="P261" s="4"/>
      <c r="Q261" s="4">
        <v>8.9</v>
      </c>
      <c r="R261" s="4">
        <v>8.9</v>
      </c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>
        <v>1694</v>
      </c>
      <c r="AF261" s="4">
        <v>74</v>
      </c>
      <c r="AG261" s="4">
        <v>98</v>
      </c>
    </row>
    <row r="262" spans="1:34" x14ac:dyDescent="0.3">
      <c r="A262" s="4" t="s">
        <v>33</v>
      </c>
      <c r="B262" s="4">
        <v>670</v>
      </c>
      <c r="C262" s="4" t="s">
        <v>43</v>
      </c>
      <c r="D262" s="5">
        <v>44438</v>
      </c>
      <c r="E262" s="6">
        <v>40</v>
      </c>
      <c r="F262" s="6" t="s">
        <v>44</v>
      </c>
      <c r="G262" s="6" t="s">
        <v>39</v>
      </c>
      <c r="H262" s="6">
        <v>65.2</v>
      </c>
      <c r="I262" s="6">
        <v>46.3</v>
      </c>
      <c r="J262" s="4">
        <v>1.95</v>
      </c>
      <c r="K262" s="4">
        <v>5.4</v>
      </c>
      <c r="L262" s="4">
        <v>5.7</v>
      </c>
      <c r="M262" s="4">
        <v>2.5</v>
      </c>
      <c r="N262" s="4">
        <v>2.5</v>
      </c>
      <c r="O262" s="4">
        <v>4.5</v>
      </c>
      <c r="P262" s="4">
        <v>4.5999999999999996</v>
      </c>
      <c r="Q262" s="4">
        <v>8.6</v>
      </c>
      <c r="R262" s="4">
        <v>8.5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>
        <v>1074</v>
      </c>
      <c r="AF262" s="4">
        <v>66</v>
      </c>
      <c r="AG262" s="4">
        <v>8</v>
      </c>
    </row>
    <row r="263" spans="1:34" x14ac:dyDescent="0.3">
      <c r="A263" s="4" t="s">
        <v>33</v>
      </c>
      <c r="B263" s="4">
        <v>633</v>
      </c>
      <c r="C263" s="4" t="s">
        <v>43</v>
      </c>
      <c r="D263" s="5">
        <v>44403</v>
      </c>
      <c r="E263" s="6">
        <v>40</v>
      </c>
      <c r="F263" s="6" t="s">
        <v>44</v>
      </c>
      <c r="G263" s="6" t="s">
        <v>39</v>
      </c>
      <c r="H263" s="6">
        <v>65.400000000000006</v>
      </c>
      <c r="I263" s="6">
        <v>46.3</v>
      </c>
      <c r="J263" s="4">
        <v>1.96</v>
      </c>
      <c r="K263" s="4">
        <v>7.75</v>
      </c>
      <c r="L263" s="4">
        <v>7.75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 t="s">
        <v>201</v>
      </c>
      <c r="AF263" s="4" t="s">
        <v>201</v>
      </c>
      <c r="AG263" s="4" t="s">
        <v>201</v>
      </c>
      <c r="AH263" s="4" t="s">
        <v>524</v>
      </c>
    </row>
    <row r="264" spans="1:34" x14ac:dyDescent="0.3">
      <c r="A264" s="4" t="s">
        <v>33</v>
      </c>
      <c r="B264" s="4">
        <v>985</v>
      </c>
      <c r="C264" s="4" t="s">
        <v>302</v>
      </c>
      <c r="D264" s="4" t="s">
        <v>325</v>
      </c>
      <c r="E264" s="6">
        <v>40</v>
      </c>
      <c r="F264" s="6" t="s">
        <v>44</v>
      </c>
      <c r="G264" s="6" t="s">
        <v>39</v>
      </c>
      <c r="H264" s="6">
        <v>68.599999999999994</v>
      </c>
      <c r="I264" s="6">
        <v>46.3</v>
      </c>
      <c r="J264" s="4">
        <v>1.9</v>
      </c>
      <c r="K264" s="4">
        <v>8.2200000000000006</v>
      </c>
      <c r="L264" s="4">
        <v>8.09</v>
      </c>
      <c r="M264" s="4" t="s">
        <v>337</v>
      </c>
      <c r="N264" s="4" t="s">
        <v>338</v>
      </c>
      <c r="O264" s="4" t="s">
        <v>201</v>
      </c>
      <c r="P264" s="4" t="s">
        <v>201</v>
      </c>
      <c r="Q264" s="4">
        <v>11.51</v>
      </c>
      <c r="R264" s="4">
        <v>11.74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>
        <v>1478</v>
      </c>
      <c r="AF264" s="4">
        <v>62</v>
      </c>
      <c r="AG264" s="4">
        <v>58</v>
      </c>
    </row>
    <row r="265" spans="1:34" x14ac:dyDescent="0.3">
      <c r="A265" s="4" t="s">
        <v>33</v>
      </c>
      <c r="B265" s="4">
        <v>1059</v>
      </c>
      <c r="C265" s="4" t="s">
        <v>302</v>
      </c>
      <c r="D265" s="8">
        <v>44835</v>
      </c>
      <c r="E265" s="6">
        <v>40</v>
      </c>
      <c r="F265" s="6" t="s">
        <v>44</v>
      </c>
      <c r="G265" s="6" t="s">
        <v>39</v>
      </c>
      <c r="H265" s="6">
        <v>69.5</v>
      </c>
      <c r="I265" s="6">
        <v>46.4</v>
      </c>
      <c r="J265" s="4" t="s">
        <v>201</v>
      </c>
      <c r="K265" s="4" t="s">
        <v>201</v>
      </c>
      <c r="L265" s="4" t="s">
        <v>201</v>
      </c>
      <c r="M265" s="4" t="s">
        <v>201</v>
      </c>
      <c r="N265" s="4" t="s">
        <v>201</v>
      </c>
      <c r="O265" s="4" t="s">
        <v>201</v>
      </c>
      <c r="P265" s="4" t="s">
        <v>201</v>
      </c>
      <c r="Q265" s="4" t="s">
        <v>201</v>
      </c>
      <c r="R265" s="4" t="s">
        <v>201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>
        <v>430</v>
      </c>
      <c r="AF265" s="4">
        <v>16</v>
      </c>
      <c r="AG265" s="4">
        <v>2</v>
      </c>
    </row>
    <row r="266" spans="1:34" x14ac:dyDescent="0.3">
      <c r="A266" s="4" t="s">
        <v>33</v>
      </c>
      <c r="B266" s="4">
        <v>673</v>
      </c>
      <c r="C266" s="4" t="s">
        <v>43</v>
      </c>
      <c r="D266" s="5">
        <v>44438</v>
      </c>
      <c r="E266" s="6">
        <v>40</v>
      </c>
      <c r="F266" s="6" t="s">
        <v>44</v>
      </c>
      <c r="G266" s="6" t="s">
        <v>39</v>
      </c>
      <c r="H266" s="6">
        <v>70.599999999999994</v>
      </c>
      <c r="I266" s="6">
        <v>46.4</v>
      </c>
      <c r="J266" s="4">
        <v>2.5</v>
      </c>
      <c r="K266" s="4">
        <v>6.1</v>
      </c>
      <c r="L266" s="4">
        <v>6.5</v>
      </c>
      <c r="M266" s="4">
        <v>3.4</v>
      </c>
      <c r="N266" s="4">
        <v>3.2</v>
      </c>
      <c r="O266" s="4">
        <v>5.0999999999999996</v>
      </c>
      <c r="P266" s="4">
        <v>5.2</v>
      </c>
      <c r="Q266" s="4">
        <v>9.8000000000000007</v>
      </c>
      <c r="R266" s="4">
        <v>9.9</v>
      </c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>
        <v>1059</v>
      </c>
      <c r="AF266" s="4">
        <v>68</v>
      </c>
      <c r="AG266" s="4">
        <v>22</v>
      </c>
    </row>
    <row r="267" spans="1:34" x14ac:dyDescent="0.3">
      <c r="A267" s="4" t="s">
        <v>33</v>
      </c>
      <c r="B267" s="4">
        <v>352</v>
      </c>
      <c r="C267" s="4" t="s">
        <v>46</v>
      </c>
      <c r="D267" s="5">
        <v>44256</v>
      </c>
      <c r="E267" s="6">
        <v>21.9</v>
      </c>
      <c r="F267" s="6" t="s">
        <v>44</v>
      </c>
      <c r="G267" s="6" t="s">
        <v>39</v>
      </c>
      <c r="H267" s="6">
        <v>72.3</v>
      </c>
      <c r="I267" s="6">
        <v>46.4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>
        <v>1325</v>
      </c>
      <c r="AF267" s="4">
        <v>80</v>
      </c>
      <c r="AG267" s="4">
        <v>70</v>
      </c>
      <c r="AH267" s="14" t="s">
        <v>517</v>
      </c>
    </row>
    <row r="268" spans="1:34" x14ac:dyDescent="0.3">
      <c r="A268" s="4" t="s">
        <v>33</v>
      </c>
      <c r="B268" s="4">
        <v>1041</v>
      </c>
      <c r="C268" s="4" t="s">
        <v>302</v>
      </c>
      <c r="D268" s="4" t="s">
        <v>325</v>
      </c>
      <c r="E268" s="6">
        <v>40</v>
      </c>
      <c r="F268" s="6" t="s">
        <v>44</v>
      </c>
      <c r="G268" s="6" t="s">
        <v>39</v>
      </c>
      <c r="H268" s="6">
        <v>72.3</v>
      </c>
      <c r="I268" s="6">
        <v>46.4</v>
      </c>
      <c r="J268" s="4">
        <v>2.2999999999999998</v>
      </c>
      <c r="K268" s="4">
        <v>9.3800000000000008</v>
      </c>
      <c r="L268" s="4">
        <v>8.6300000000000008</v>
      </c>
      <c r="M268" s="4" t="s">
        <v>412</v>
      </c>
      <c r="N268" s="4" t="s">
        <v>413</v>
      </c>
      <c r="O268" s="4">
        <v>8.7899999999999991</v>
      </c>
      <c r="P268" s="4">
        <v>8.89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>
        <v>1912</v>
      </c>
      <c r="AF268" s="4">
        <v>66</v>
      </c>
      <c r="AG268" s="4">
        <v>138</v>
      </c>
    </row>
    <row r="269" spans="1:34" x14ac:dyDescent="0.3">
      <c r="A269" s="4" t="s">
        <v>33</v>
      </c>
      <c r="B269" s="4">
        <v>480</v>
      </c>
      <c r="C269" s="4" t="s">
        <v>43</v>
      </c>
      <c r="D269" s="5">
        <v>44336</v>
      </c>
      <c r="E269" s="6"/>
      <c r="F269" s="6" t="s">
        <v>44</v>
      </c>
      <c r="G269" s="6" t="s">
        <v>39</v>
      </c>
      <c r="H269" s="6">
        <v>60.9</v>
      </c>
      <c r="I269" s="6">
        <v>46.5</v>
      </c>
      <c r="J269" s="4">
        <v>2.06</v>
      </c>
      <c r="K269" s="4">
        <v>8.3000000000000007</v>
      </c>
      <c r="L269" s="4">
        <v>7.65</v>
      </c>
      <c r="M269" s="4" t="s">
        <v>80</v>
      </c>
      <c r="N269" s="4" t="s">
        <v>80</v>
      </c>
      <c r="O269" s="4"/>
      <c r="P269" s="4"/>
      <c r="Q269" s="4">
        <v>7.2</v>
      </c>
      <c r="R269" s="4">
        <v>7.2</v>
      </c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>
        <v>1402</v>
      </c>
      <c r="AF269" s="4">
        <v>86</v>
      </c>
      <c r="AG269" s="4">
        <v>20</v>
      </c>
    </row>
    <row r="270" spans="1:34" x14ac:dyDescent="0.3">
      <c r="A270" s="4" t="s">
        <v>33</v>
      </c>
      <c r="B270" s="4">
        <v>1087</v>
      </c>
      <c r="C270" s="4" t="s">
        <v>302</v>
      </c>
      <c r="D270" s="11" t="s">
        <v>437</v>
      </c>
      <c r="E270" s="6" t="s">
        <v>446</v>
      </c>
      <c r="F270" s="6" t="s">
        <v>44</v>
      </c>
      <c r="G270" s="6" t="s">
        <v>40</v>
      </c>
      <c r="H270" s="6">
        <v>61</v>
      </c>
      <c r="I270" s="6">
        <v>46.5</v>
      </c>
      <c r="J270" s="4">
        <v>2.31</v>
      </c>
      <c r="K270" s="4" t="s">
        <v>201</v>
      </c>
      <c r="L270" s="4" t="s">
        <v>201</v>
      </c>
      <c r="M270" s="4" t="s">
        <v>201</v>
      </c>
      <c r="N270" s="4" t="s">
        <v>201</v>
      </c>
      <c r="O270" s="4" t="s">
        <v>201</v>
      </c>
      <c r="P270" s="4" t="s">
        <v>201</v>
      </c>
      <c r="Q270" s="4" t="s">
        <v>201</v>
      </c>
      <c r="R270" s="4" t="s">
        <v>201</v>
      </c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>
        <v>1544</v>
      </c>
      <c r="AF270" s="4"/>
      <c r="AG270" s="4">
        <v>42</v>
      </c>
    </row>
    <row r="271" spans="1:34" x14ac:dyDescent="0.3">
      <c r="A271" s="4" t="s">
        <v>33</v>
      </c>
      <c r="B271" s="4">
        <v>696</v>
      </c>
      <c r="C271" s="4" t="s">
        <v>43</v>
      </c>
      <c r="D271" s="5">
        <v>44438</v>
      </c>
      <c r="E271" s="6">
        <v>20</v>
      </c>
      <c r="F271" s="6" t="s">
        <v>44</v>
      </c>
      <c r="G271" s="6" t="s">
        <v>39</v>
      </c>
      <c r="H271" s="6">
        <v>61.9</v>
      </c>
      <c r="I271" s="6">
        <v>46.5</v>
      </c>
      <c r="J271" s="4">
        <v>1.4</v>
      </c>
      <c r="K271" s="4">
        <v>7.4</v>
      </c>
      <c r="L271" s="4">
        <v>7.2</v>
      </c>
      <c r="M271" s="4">
        <v>6.2</v>
      </c>
      <c r="N271" s="4">
        <v>6.31</v>
      </c>
      <c r="O271" s="4">
        <v>6.6</v>
      </c>
      <c r="P271" s="4">
        <v>6.22</v>
      </c>
      <c r="Q271" s="4">
        <v>8.1999999999999993</v>
      </c>
      <c r="R271" s="4">
        <v>8.49</v>
      </c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>
        <v>1420</v>
      </c>
      <c r="AF271" s="4">
        <v>68</v>
      </c>
      <c r="AG271" s="4">
        <v>118</v>
      </c>
    </row>
    <row r="272" spans="1:34" x14ac:dyDescent="0.3">
      <c r="A272" s="4" t="s">
        <v>33</v>
      </c>
      <c r="B272" s="4">
        <v>636</v>
      </c>
      <c r="C272" s="4" t="s">
        <v>43</v>
      </c>
      <c r="D272" s="5">
        <v>44403</v>
      </c>
      <c r="E272" s="6">
        <v>21.9</v>
      </c>
      <c r="F272" s="6" t="s">
        <v>44</v>
      </c>
      <c r="G272" s="6" t="s">
        <v>39</v>
      </c>
      <c r="H272" s="6">
        <v>62.9</v>
      </c>
      <c r="I272" s="6">
        <v>46.5</v>
      </c>
      <c r="J272" s="4"/>
      <c r="K272" s="4">
        <v>8.34</v>
      </c>
      <c r="L272" s="4">
        <v>8.9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 t="s">
        <v>201</v>
      </c>
      <c r="AF272" s="4" t="s">
        <v>201</v>
      </c>
      <c r="AG272" s="4" t="s">
        <v>201</v>
      </c>
      <c r="AH272" s="4" t="s">
        <v>576</v>
      </c>
    </row>
    <row r="273" spans="1:34" x14ac:dyDescent="0.3">
      <c r="A273" s="4" t="s">
        <v>33</v>
      </c>
      <c r="B273" s="4">
        <v>669</v>
      </c>
      <c r="C273" s="4" t="s">
        <v>43</v>
      </c>
      <c r="D273" s="5">
        <v>44438</v>
      </c>
      <c r="E273" s="6">
        <v>40</v>
      </c>
      <c r="F273" s="6" t="s">
        <v>44</v>
      </c>
      <c r="G273" s="6" t="s">
        <v>39</v>
      </c>
      <c r="H273" s="6">
        <v>67.5</v>
      </c>
      <c r="I273" s="6">
        <v>46.5</v>
      </c>
      <c r="J273" s="4"/>
      <c r="K273" s="4">
        <v>8.6</v>
      </c>
      <c r="L273" s="4">
        <v>7.9</v>
      </c>
      <c r="M273" s="4" t="s">
        <v>250</v>
      </c>
      <c r="N273" s="4" t="s">
        <v>251</v>
      </c>
      <c r="O273" s="4">
        <v>7.3</v>
      </c>
      <c r="P273" s="4">
        <v>7.2</v>
      </c>
      <c r="Q273" s="4">
        <v>7.8</v>
      </c>
      <c r="R273" s="4">
        <v>9.1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>
        <v>1718</v>
      </c>
      <c r="AF273" s="4">
        <v>70</v>
      </c>
      <c r="AG273" s="4">
        <v>118</v>
      </c>
      <c r="AH273" s="14" t="s">
        <v>577</v>
      </c>
    </row>
    <row r="274" spans="1:34" x14ac:dyDescent="0.3">
      <c r="A274" s="4" t="s">
        <v>33</v>
      </c>
      <c r="B274" s="4">
        <v>1099</v>
      </c>
      <c r="C274" s="4" t="s">
        <v>302</v>
      </c>
      <c r="D274" s="11" t="s">
        <v>447</v>
      </c>
      <c r="E274" s="6" t="s">
        <v>453</v>
      </c>
      <c r="F274" s="6" t="s">
        <v>44</v>
      </c>
      <c r="G274" s="6" t="s">
        <v>39</v>
      </c>
      <c r="H274" s="6">
        <v>70</v>
      </c>
      <c r="I274" s="6">
        <v>46.5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>
        <v>460</v>
      </c>
      <c r="AF274" s="4"/>
      <c r="AG274" s="4"/>
    </row>
    <row r="275" spans="1:34" x14ac:dyDescent="0.3">
      <c r="A275" s="4" t="s">
        <v>33</v>
      </c>
      <c r="B275" s="4">
        <v>622</v>
      </c>
      <c r="C275" s="4" t="s">
        <v>43</v>
      </c>
      <c r="D275" s="5">
        <v>44403</v>
      </c>
      <c r="E275" s="6">
        <v>40</v>
      </c>
      <c r="F275" s="6" t="s">
        <v>44</v>
      </c>
      <c r="G275" s="6" t="s">
        <v>39</v>
      </c>
      <c r="H275" s="6">
        <v>72</v>
      </c>
      <c r="I275" s="6">
        <v>46.5</v>
      </c>
      <c r="J275" s="4">
        <v>2.41</v>
      </c>
      <c r="K275" s="4">
        <v>8.7100000000000009</v>
      </c>
      <c r="L275" s="4">
        <v>8.35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>
        <v>1450</v>
      </c>
      <c r="AF275" s="4" t="s">
        <v>201</v>
      </c>
      <c r="AG275" s="4" t="s">
        <v>201</v>
      </c>
    </row>
    <row r="276" spans="1:34" x14ac:dyDescent="0.3">
      <c r="A276" s="4" t="s">
        <v>33</v>
      </c>
      <c r="B276" s="4">
        <v>1068</v>
      </c>
      <c r="C276" s="4" t="s">
        <v>302</v>
      </c>
      <c r="D276" s="8">
        <v>44835</v>
      </c>
      <c r="E276" s="6">
        <v>20</v>
      </c>
      <c r="F276" s="6" t="s">
        <v>44</v>
      </c>
      <c r="G276" s="6" t="s">
        <v>39</v>
      </c>
      <c r="H276" s="6">
        <v>73</v>
      </c>
      <c r="I276" s="6">
        <v>46.5</v>
      </c>
      <c r="J276" s="4">
        <v>1.33</v>
      </c>
      <c r="K276" s="4">
        <v>8.06</v>
      </c>
      <c r="L276" s="4">
        <v>8.41</v>
      </c>
      <c r="M276" s="4" t="s">
        <v>422</v>
      </c>
      <c r="N276" s="4" t="s">
        <v>423</v>
      </c>
      <c r="O276" s="4">
        <v>8.9700000000000006</v>
      </c>
      <c r="P276" s="4">
        <v>8.5399999999999991</v>
      </c>
      <c r="Q276" s="4" t="s">
        <v>201</v>
      </c>
      <c r="R276" s="4" t="s">
        <v>201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>
        <v>1558</v>
      </c>
      <c r="AF276" s="4">
        <v>56</v>
      </c>
      <c r="AG276" s="4">
        <v>88</v>
      </c>
    </row>
    <row r="277" spans="1:34" x14ac:dyDescent="0.3">
      <c r="A277" s="4" t="s">
        <v>33</v>
      </c>
      <c r="B277" s="4">
        <v>1107</v>
      </c>
      <c r="C277" s="4" t="s">
        <v>302</v>
      </c>
      <c r="D277" s="11" t="s">
        <v>447</v>
      </c>
      <c r="E277" s="13">
        <v>45270</v>
      </c>
      <c r="F277" s="6" t="s">
        <v>44</v>
      </c>
      <c r="G277" s="6" t="s">
        <v>39</v>
      </c>
      <c r="H277" s="6">
        <v>64.599999999999994</v>
      </c>
      <c r="I277" s="6">
        <v>46.6</v>
      </c>
      <c r="J277" s="4">
        <v>1.83</v>
      </c>
      <c r="K277" s="4">
        <v>7.97</v>
      </c>
      <c r="L277" s="4">
        <v>7.95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>
        <v>1482</v>
      </c>
      <c r="AF277" s="4"/>
      <c r="AG277" s="4"/>
    </row>
    <row r="278" spans="1:34" x14ac:dyDescent="0.3">
      <c r="A278" s="4" t="s">
        <v>33</v>
      </c>
      <c r="B278" s="4">
        <v>596</v>
      </c>
      <c r="C278" s="4" t="s">
        <v>43</v>
      </c>
      <c r="D278" s="5">
        <v>44361</v>
      </c>
      <c r="E278" s="6"/>
      <c r="F278" s="6" t="s">
        <v>44</v>
      </c>
      <c r="G278" s="6" t="s">
        <v>40</v>
      </c>
      <c r="H278" s="6">
        <v>66.599999999999994</v>
      </c>
      <c r="I278" s="6">
        <v>46.6</v>
      </c>
      <c r="J278" s="4">
        <v>2.46</v>
      </c>
      <c r="K278" s="4">
        <v>8.27</v>
      </c>
      <c r="L278" s="4">
        <v>8.19</v>
      </c>
      <c r="M278" s="4"/>
      <c r="N278" s="4"/>
      <c r="O278" s="4">
        <v>7.5</v>
      </c>
      <c r="P278" s="4">
        <v>8.23</v>
      </c>
      <c r="Q278" s="4">
        <v>10.3</v>
      </c>
      <c r="R278" s="4">
        <v>11.25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>
        <v>1574</v>
      </c>
      <c r="AF278" s="4"/>
      <c r="AG278" s="4"/>
      <c r="AH278" s="14" t="s">
        <v>561</v>
      </c>
    </row>
    <row r="279" spans="1:34" x14ac:dyDescent="0.3">
      <c r="A279" s="4" t="s">
        <v>33</v>
      </c>
      <c r="B279" s="4">
        <v>1113</v>
      </c>
      <c r="C279" s="4" t="s">
        <v>302</v>
      </c>
      <c r="D279" s="11" t="s">
        <v>447</v>
      </c>
      <c r="E279" s="13">
        <v>45268</v>
      </c>
      <c r="F279" s="6" t="s">
        <v>44</v>
      </c>
      <c r="G279" s="6" t="s">
        <v>39</v>
      </c>
      <c r="H279" s="6">
        <v>67.7</v>
      </c>
      <c r="I279" s="6">
        <v>46.6</v>
      </c>
      <c r="J279" s="4">
        <v>2.15</v>
      </c>
      <c r="K279" s="4">
        <v>8.52</v>
      </c>
      <c r="L279" s="4">
        <v>8.2899999999999991</v>
      </c>
      <c r="M279" s="4"/>
      <c r="N279" s="4"/>
      <c r="O279" s="4">
        <v>8.33</v>
      </c>
      <c r="P279" s="4">
        <v>8.06</v>
      </c>
      <c r="Q279" s="4">
        <v>10</v>
      </c>
      <c r="R279" s="4">
        <v>11.64</v>
      </c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>
        <v>1274</v>
      </c>
      <c r="AF279" s="4"/>
      <c r="AG279" s="4">
        <v>43</v>
      </c>
    </row>
    <row r="280" spans="1:34" x14ac:dyDescent="0.3">
      <c r="A280" s="4" t="s">
        <v>33</v>
      </c>
      <c r="B280" s="4">
        <v>1685</v>
      </c>
      <c r="C280" s="4" t="s">
        <v>664</v>
      </c>
      <c r="D280" s="41"/>
      <c r="E280" s="41"/>
      <c r="F280" s="6" t="s">
        <v>44</v>
      </c>
      <c r="G280" s="6" t="s">
        <v>39</v>
      </c>
      <c r="H280" s="6">
        <v>71</v>
      </c>
      <c r="I280" s="40">
        <v>46.6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4" x14ac:dyDescent="0.3">
      <c r="A281" s="4" t="s">
        <v>33</v>
      </c>
      <c r="B281" s="4">
        <v>857</v>
      </c>
      <c r="C281" s="4" t="s">
        <v>303</v>
      </c>
      <c r="D281" s="5">
        <v>44480</v>
      </c>
      <c r="E281" s="6">
        <v>40</v>
      </c>
      <c r="F281" s="6" t="s">
        <v>44</v>
      </c>
      <c r="G281" s="6" t="s">
        <v>39</v>
      </c>
      <c r="H281" s="6">
        <v>71.8</v>
      </c>
      <c r="I281" s="6">
        <v>46.6</v>
      </c>
      <c r="J281" s="4"/>
      <c r="K281" s="4">
        <v>1.44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>
        <v>436</v>
      </c>
      <c r="AF281" s="4">
        <v>16</v>
      </c>
      <c r="AG281" s="4" t="s">
        <v>201</v>
      </c>
    </row>
    <row r="282" spans="1:34" x14ac:dyDescent="0.3">
      <c r="A282" s="4" t="s">
        <v>33</v>
      </c>
      <c r="B282" s="4">
        <v>389</v>
      </c>
      <c r="C282" s="4" t="s">
        <v>43</v>
      </c>
      <c r="D282" s="5">
        <v>44256</v>
      </c>
      <c r="E282" s="6">
        <v>21.9</v>
      </c>
      <c r="F282" s="6" t="s">
        <v>44</v>
      </c>
      <c r="G282" s="6" t="s">
        <v>39</v>
      </c>
      <c r="H282" s="6">
        <v>72.400000000000006</v>
      </c>
      <c r="I282" s="6">
        <v>46.6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>
        <v>1714</v>
      </c>
      <c r="AF282" s="4">
        <v>74</v>
      </c>
      <c r="AG282" s="4">
        <v>84</v>
      </c>
    </row>
    <row r="283" spans="1:34" x14ac:dyDescent="0.3">
      <c r="A283" s="4" t="s">
        <v>33</v>
      </c>
      <c r="B283" s="4">
        <v>996</v>
      </c>
      <c r="C283" s="4" t="s">
        <v>302</v>
      </c>
      <c r="D283" s="4" t="s">
        <v>325</v>
      </c>
      <c r="E283" s="6">
        <v>40</v>
      </c>
      <c r="F283" s="6" t="s">
        <v>44</v>
      </c>
      <c r="G283" s="6" t="s">
        <v>39</v>
      </c>
      <c r="H283" s="6">
        <v>62.6</v>
      </c>
      <c r="I283" s="6">
        <v>46.7</v>
      </c>
      <c r="J283" s="4">
        <v>1.91</v>
      </c>
      <c r="K283" s="4">
        <v>8.9700000000000006</v>
      </c>
      <c r="L283" s="4">
        <v>9.6300000000000008</v>
      </c>
      <c r="M283" s="4" t="s">
        <v>359</v>
      </c>
      <c r="N283" s="4" t="s">
        <v>360</v>
      </c>
      <c r="O283" s="4" t="s">
        <v>201</v>
      </c>
      <c r="P283" s="4" t="s">
        <v>201</v>
      </c>
      <c r="Q283" s="4" t="s">
        <v>201</v>
      </c>
      <c r="R283" s="4" t="s">
        <v>201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>
        <v>1360</v>
      </c>
      <c r="AF283" s="4">
        <v>60</v>
      </c>
      <c r="AG283" s="4">
        <v>94</v>
      </c>
    </row>
    <row r="284" spans="1:34" x14ac:dyDescent="0.3">
      <c r="A284" s="4" t="s">
        <v>33</v>
      </c>
      <c r="B284" s="4">
        <v>515</v>
      </c>
      <c r="C284" s="4" t="s">
        <v>43</v>
      </c>
      <c r="D284" s="5">
        <v>44336</v>
      </c>
      <c r="E284" s="6"/>
      <c r="F284" s="6" t="s">
        <v>44</v>
      </c>
      <c r="G284" s="6" t="s">
        <v>39</v>
      </c>
      <c r="H284" s="6">
        <v>65.400000000000006</v>
      </c>
      <c r="I284" s="6">
        <v>46.7</v>
      </c>
      <c r="J284" s="4"/>
      <c r="K284" s="4">
        <v>2.1</v>
      </c>
      <c r="L284" s="4">
        <v>2.1</v>
      </c>
      <c r="M284" s="4" t="s">
        <v>107</v>
      </c>
      <c r="N284" s="4" t="s">
        <v>107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>
        <v>612</v>
      </c>
      <c r="AF284" s="4">
        <v>32</v>
      </c>
      <c r="AG284" s="4"/>
      <c r="AH284" s="14" t="s">
        <v>517</v>
      </c>
    </row>
    <row r="285" spans="1:34" x14ac:dyDescent="0.3">
      <c r="A285" s="4" t="s">
        <v>33</v>
      </c>
      <c r="B285" s="4">
        <v>1024</v>
      </c>
      <c r="C285" s="4" t="s">
        <v>302</v>
      </c>
      <c r="D285" s="4" t="s">
        <v>503</v>
      </c>
      <c r="E285" s="6">
        <v>40</v>
      </c>
      <c r="F285" s="6" t="s">
        <v>44</v>
      </c>
      <c r="G285" s="6" t="s">
        <v>39</v>
      </c>
      <c r="H285" s="6">
        <v>67.099999999999994</v>
      </c>
      <c r="I285" s="6">
        <v>46.7</v>
      </c>
      <c r="J285" s="4">
        <v>1.95</v>
      </c>
      <c r="K285" s="4">
        <v>8.01</v>
      </c>
      <c r="L285" s="4">
        <v>8.15</v>
      </c>
      <c r="M285" s="4" t="s">
        <v>201</v>
      </c>
      <c r="N285" s="4" t="s">
        <v>201</v>
      </c>
      <c r="O285" s="4">
        <v>9.66</v>
      </c>
      <c r="P285" s="4">
        <v>9.24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>
        <v>1436</v>
      </c>
      <c r="AF285" s="4">
        <v>6</v>
      </c>
      <c r="AG285" s="4">
        <v>50</v>
      </c>
    </row>
    <row r="286" spans="1:34" x14ac:dyDescent="0.3">
      <c r="A286" s="4" t="s">
        <v>33</v>
      </c>
      <c r="B286" s="4">
        <v>503</v>
      </c>
      <c r="C286" s="4" t="s">
        <v>43</v>
      </c>
      <c r="D286" s="5">
        <v>44336</v>
      </c>
      <c r="E286" s="6"/>
      <c r="F286" s="6" t="s">
        <v>44</v>
      </c>
      <c r="G286" s="6" t="s">
        <v>39</v>
      </c>
      <c r="H286" s="6">
        <v>71.2</v>
      </c>
      <c r="I286" s="6">
        <v>46.8</v>
      </c>
      <c r="J286" s="4"/>
      <c r="K286" s="4">
        <v>1.24</v>
      </c>
      <c r="L286" s="4">
        <v>1.5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>
        <v>590</v>
      </c>
      <c r="AF286" s="4">
        <v>40</v>
      </c>
      <c r="AG286" s="4">
        <v>4</v>
      </c>
    </row>
    <row r="287" spans="1:34" x14ac:dyDescent="0.3">
      <c r="A287" s="4" t="s">
        <v>33</v>
      </c>
      <c r="B287" s="4">
        <v>318</v>
      </c>
      <c r="C287" s="4" t="s">
        <v>41</v>
      </c>
      <c r="D287" s="5" t="s">
        <v>42</v>
      </c>
      <c r="E287" s="6">
        <v>24</v>
      </c>
      <c r="F287" s="6" t="s">
        <v>44</v>
      </c>
      <c r="G287" s="6" t="s">
        <v>39</v>
      </c>
      <c r="H287" s="6">
        <v>62</v>
      </c>
      <c r="I287" s="6">
        <v>46.9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>
        <v>1050</v>
      </c>
      <c r="AF287" s="4">
        <v>50</v>
      </c>
      <c r="AG287" s="4"/>
      <c r="AH287" s="14" t="s">
        <v>517</v>
      </c>
    </row>
    <row r="288" spans="1:34" x14ac:dyDescent="0.3">
      <c r="A288" s="4" t="s">
        <v>33</v>
      </c>
      <c r="B288" s="4">
        <v>1032</v>
      </c>
      <c r="C288" s="4" t="s">
        <v>302</v>
      </c>
      <c r="D288" s="4" t="s">
        <v>325</v>
      </c>
      <c r="E288" s="6">
        <v>40</v>
      </c>
      <c r="F288" s="6" t="s">
        <v>44</v>
      </c>
      <c r="G288" s="6" t="s">
        <v>39</v>
      </c>
      <c r="H288" s="6">
        <v>64.099999999999994</v>
      </c>
      <c r="I288" s="6">
        <v>46.9</v>
      </c>
      <c r="J288" s="4">
        <v>2</v>
      </c>
      <c r="K288" s="4">
        <v>6.7</v>
      </c>
      <c r="L288" s="4">
        <v>6.9</v>
      </c>
      <c r="M288" s="4" t="s">
        <v>394</v>
      </c>
      <c r="N288" s="4" t="s">
        <v>395</v>
      </c>
      <c r="O288" s="4">
        <v>10</v>
      </c>
      <c r="P288" s="4">
        <v>9.9600000000000009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>
        <v>1448</v>
      </c>
      <c r="AF288" s="4">
        <v>50</v>
      </c>
      <c r="AG288" s="4">
        <v>110</v>
      </c>
    </row>
    <row r="289" spans="1:34" x14ac:dyDescent="0.3">
      <c r="A289" s="4" t="s">
        <v>33</v>
      </c>
      <c r="B289" s="4">
        <v>387</v>
      </c>
      <c r="C289" s="4" t="s">
        <v>43</v>
      </c>
      <c r="D289" s="5">
        <v>44256</v>
      </c>
      <c r="E289" s="6">
        <v>21.9</v>
      </c>
      <c r="F289" s="6" t="s">
        <v>44</v>
      </c>
      <c r="G289" s="6" t="s">
        <v>40</v>
      </c>
      <c r="H289" s="6">
        <v>70.5</v>
      </c>
      <c r="I289" s="6">
        <v>46.9</v>
      </c>
      <c r="J289" s="4"/>
      <c r="K289" s="4">
        <v>252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4" x14ac:dyDescent="0.3">
      <c r="A290" s="4" t="s">
        <v>33</v>
      </c>
      <c r="B290" s="4">
        <v>1039</v>
      </c>
      <c r="C290" s="4" t="s">
        <v>302</v>
      </c>
      <c r="D290" s="4" t="s">
        <v>325</v>
      </c>
      <c r="E290" s="6">
        <v>40</v>
      </c>
      <c r="F290" s="6" t="s">
        <v>44</v>
      </c>
      <c r="G290" s="6" t="s">
        <v>39</v>
      </c>
      <c r="H290" s="6">
        <v>63.8</v>
      </c>
      <c r="I290" s="6">
        <v>47</v>
      </c>
      <c r="J290" s="4">
        <v>1.68</v>
      </c>
      <c r="K290" s="4">
        <v>6.98</v>
      </c>
      <c r="L290" s="4">
        <v>7.05</v>
      </c>
      <c r="M290" s="4" t="s">
        <v>408</v>
      </c>
      <c r="N290" s="4" t="s">
        <v>409</v>
      </c>
      <c r="O290" s="4">
        <v>8.4600000000000009</v>
      </c>
      <c r="P290" s="4">
        <v>8.27</v>
      </c>
      <c r="Q290" s="4">
        <v>2.36</v>
      </c>
      <c r="R290" s="4">
        <v>2.58</v>
      </c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>
        <v>1156</v>
      </c>
      <c r="AF290" s="4">
        <v>64</v>
      </c>
      <c r="AG290" s="4">
        <v>64</v>
      </c>
    </row>
    <row r="291" spans="1:34" x14ac:dyDescent="0.3">
      <c r="A291" s="4" t="s">
        <v>33</v>
      </c>
      <c r="B291" s="4">
        <v>308</v>
      </c>
      <c r="C291" s="4" t="s">
        <v>41</v>
      </c>
      <c r="D291" s="5" t="s">
        <v>42</v>
      </c>
      <c r="E291" s="6">
        <v>24</v>
      </c>
      <c r="F291" s="6" t="s">
        <v>44</v>
      </c>
      <c r="G291" s="6" t="s">
        <v>39</v>
      </c>
      <c r="H291" s="6">
        <v>64</v>
      </c>
      <c r="I291" s="6">
        <v>47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>
        <v>1050</v>
      </c>
      <c r="AF291" s="4">
        <v>64</v>
      </c>
      <c r="AG291" s="4"/>
      <c r="AH291" s="14" t="s">
        <v>517</v>
      </c>
    </row>
    <row r="292" spans="1:34" x14ac:dyDescent="0.3">
      <c r="A292" s="4" t="s">
        <v>33</v>
      </c>
      <c r="B292" s="4">
        <v>982</v>
      </c>
      <c r="C292" s="4" t="s">
        <v>302</v>
      </c>
      <c r="D292" s="4" t="s">
        <v>325</v>
      </c>
      <c r="E292" s="6">
        <v>40</v>
      </c>
      <c r="F292" s="6" t="s">
        <v>44</v>
      </c>
      <c r="G292" s="6" t="s">
        <v>39</v>
      </c>
      <c r="H292" s="6">
        <v>67.5</v>
      </c>
      <c r="I292" s="6">
        <v>47</v>
      </c>
      <c r="J292" s="4">
        <v>2.23</v>
      </c>
      <c r="K292" s="4">
        <v>7.31</v>
      </c>
      <c r="L292" s="4">
        <v>8.17</v>
      </c>
      <c r="M292" s="4" t="s">
        <v>333</v>
      </c>
      <c r="N292" s="4" t="s">
        <v>334</v>
      </c>
      <c r="O292" s="4" t="s">
        <v>201</v>
      </c>
      <c r="P292" s="4" t="s">
        <v>201</v>
      </c>
      <c r="Q292" s="4">
        <v>9.17</v>
      </c>
      <c r="R292" s="4">
        <v>9.2799999999999994</v>
      </c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>
        <v>1494</v>
      </c>
      <c r="AF292" s="4">
        <v>94</v>
      </c>
      <c r="AG292" s="4">
        <v>72</v>
      </c>
    </row>
    <row r="293" spans="1:34" x14ac:dyDescent="0.3">
      <c r="A293" s="4" t="s">
        <v>33</v>
      </c>
      <c r="B293" s="4">
        <v>328</v>
      </c>
      <c r="C293" s="4" t="s">
        <v>41</v>
      </c>
      <c r="D293" s="5" t="s">
        <v>42</v>
      </c>
      <c r="E293" s="6">
        <v>24</v>
      </c>
      <c r="F293" s="6" t="s">
        <v>44</v>
      </c>
      <c r="G293" s="6" t="s">
        <v>40</v>
      </c>
      <c r="H293" s="6">
        <v>71.099999999999994</v>
      </c>
      <c r="I293" s="6">
        <v>47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>
        <v>1465</v>
      </c>
      <c r="AF293" s="4">
        <v>74</v>
      </c>
      <c r="AG293" s="4"/>
      <c r="AH293" s="14" t="s">
        <v>517</v>
      </c>
    </row>
    <row r="294" spans="1:34" x14ac:dyDescent="0.3">
      <c r="A294" s="4" t="s">
        <v>33</v>
      </c>
      <c r="B294" s="4">
        <v>693</v>
      </c>
      <c r="C294" s="4" t="s">
        <v>43</v>
      </c>
      <c r="D294" s="5">
        <v>44438</v>
      </c>
      <c r="E294" s="6">
        <v>20</v>
      </c>
      <c r="F294" s="6" t="s">
        <v>44</v>
      </c>
      <c r="G294" s="6" t="s">
        <v>39</v>
      </c>
      <c r="H294" s="6">
        <v>71.3</v>
      </c>
      <c r="I294" s="6">
        <v>47</v>
      </c>
      <c r="J294" s="4">
        <v>1.89</v>
      </c>
      <c r="K294" s="4">
        <v>7.75</v>
      </c>
      <c r="L294" s="4">
        <v>8.6999999999999993</v>
      </c>
      <c r="M294" s="4" t="s">
        <v>291</v>
      </c>
      <c r="N294" s="4" t="s">
        <v>292</v>
      </c>
      <c r="O294" s="4" t="s">
        <v>293</v>
      </c>
      <c r="P294" s="4" t="s">
        <v>294</v>
      </c>
      <c r="Q294" s="4">
        <v>8.17</v>
      </c>
      <c r="R294" s="4">
        <v>8.49</v>
      </c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>
        <v>1428</v>
      </c>
      <c r="AF294" s="4">
        <v>54</v>
      </c>
      <c r="AG294" s="4">
        <v>112</v>
      </c>
    </row>
    <row r="295" spans="1:34" x14ac:dyDescent="0.3">
      <c r="A295" s="4" t="s">
        <v>33</v>
      </c>
      <c r="B295" s="4">
        <v>317</v>
      </c>
      <c r="C295" s="4" t="s">
        <v>41</v>
      </c>
      <c r="D295" s="5" t="s">
        <v>42</v>
      </c>
      <c r="E295" s="6">
        <v>24</v>
      </c>
      <c r="F295" s="6" t="s">
        <v>44</v>
      </c>
      <c r="G295" s="6" t="s">
        <v>39</v>
      </c>
      <c r="H295" s="6">
        <v>72</v>
      </c>
      <c r="I295" s="6">
        <v>47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>
        <v>1278</v>
      </c>
      <c r="AF295" s="4">
        <v>18</v>
      </c>
      <c r="AG295" s="4"/>
    </row>
    <row r="296" spans="1:34" x14ac:dyDescent="0.3">
      <c r="A296" s="4" t="s">
        <v>33</v>
      </c>
      <c r="B296" s="4">
        <v>1031</v>
      </c>
      <c r="C296" s="4" t="s">
        <v>302</v>
      </c>
      <c r="D296" s="4" t="s">
        <v>325</v>
      </c>
      <c r="E296" s="6">
        <v>40</v>
      </c>
      <c r="F296" s="6" t="s">
        <v>44</v>
      </c>
      <c r="G296" s="6" t="s">
        <v>39</v>
      </c>
      <c r="H296" s="6">
        <v>72.5</v>
      </c>
      <c r="I296" s="6">
        <v>47</v>
      </c>
      <c r="J296" s="4">
        <v>1.77</v>
      </c>
      <c r="K296" s="4">
        <v>8.44</v>
      </c>
      <c r="L296" s="4">
        <v>8.5399999999999991</v>
      </c>
      <c r="M296" s="4" t="s">
        <v>392</v>
      </c>
      <c r="N296" s="4" t="s">
        <v>393</v>
      </c>
      <c r="O296" s="4">
        <v>8.93</v>
      </c>
      <c r="P296" s="4">
        <v>9.01</v>
      </c>
      <c r="Q296" s="4">
        <v>9.4700000000000006</v>
      </c>
      <c r="R296" s="4">
        <v>10.06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>
        <v>1428</v>
      </c>
      <c r="AF296" s="4">
        <v>82</v>
      </c>
      <c r="AG296" s="4">
        <v>80</v>
      </c>
    </row>
    <row r="297" spans="1:34" x14ac:dyDescent="0.3">
      <c r="A297" s="4" t="s">
        <v>33</v>
      </c>
      <c r="B297" s="4">
        <v>332</v>
      </c>
      <c r="C297" s="4" t="s">
        <v>41</v>
      </c>
      <c r="D297" s="5" t="s">
        <v>42</v>
      </c>
      <c r="E297" s="6">
        <v>24</v>
      </c>
      <c r="F297" s="6" t="s">
        <v>44</v>
      </c>
      <c r="G297" s="6" t="s">
        <v>39</v>
      </c>
      <c r="H297" s="6">
        <v>74</v>
      </c>
      <c r="I297" s="6">
        <v>47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>
        <v>1200</v>
      </c>
      <c r="AF297" s="4">
        <v>70</v>
      </c>
      <c r="AG297" s="4"/>
      <c r="AH297" s="14" t="s">
        <v>537</v>
      </c>
    </row>
    <row r="298" spans="1:34" x14ac:dyDescent="0.3">
      <c r="A298" s="4" t="s">
        <v>33</v>
      </c>
      <c r="B298" s="4">
        <v>467</v>
      </c>
      <c r="C298" s="4" t="s">
        <v>43</v>
      </c>
      <c r="D298" s="5">
        <v>44336</v>
      </c>
      <c r="E298" s="6"/>
      <c r="F298" s="6" t="s">
        <v>44</v>
      </c>
      <c r="G298" s="6" t="s">
        <v>39</v>
      </c>
      <c r="H298" s="6">
        <v>66.599999999999994</v>
      </c>
      <c r="I298" s="6">
        <v>47.1</v>
      </c>
      <c r="J298" s="4"/>
      <c r="K298" s="4">
        <v>3.3</v>
      </c>
      <c r="L298" s="4">
        <v>3.3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>
        <v>626</v>
      </c>
      <c r="AF298" s="4">
        <v>32</v>
      </c>
      <c r="AG298" s="4"/>
    </row>
    <row r="299" spans="1:34" x14ac:dyDescent="0.3">
      <c r="A299" s="4" t="s">
        <v>33</v>
      </c>
      <c r="B299" s="4">
        <v>664</v>
      </c>
      <c r="C299" s="4" t="s">
        <v>43</v>
      </c>
      <c r="D299" s="5">
        <v>44438</v>
      </c>
      <c r="E299" s="6">
        <v>40</v>
      </c>
      <c r="F299" s="6" t="s">
        <v>44</v>
      </c>
      <c r="G299" s="6" t="s">
        <v>39</v>
      </c>
      <c r="H299" s="6">
        <v>67.3</v>
      </c>
      <c r="I299" s="6">
        <v>47.2</v>
      </c>
      <c r="J299" s="4"/>
      <c r="K299" s="4">
        <v>7.03</v>
      </c>
      <c r="L299" s="4">
        <v>7.03</v>
      </c>
      <c r="M299" s="4">
        <v>6.32</v>
      </c>
      <c r="N299" s="4">
        <v>6.31</v>
      </c>
      <c r="O299" s="4">
        <v>8.7100000000000009</v>
      </c>
      <c r="P299" s="4">
        <v>8.33</v>
      </c>
      <c r="Q299" s="4">
        <v>9.1</v>
      </c>
      <c r="R299" s="4">
        <v>9.58</v>
      </c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 t="s">
        <v>201</v>
      </c>
      <c r="AF299" s="4">
        <v>78</v>
      </c>
      <c r="AG299" s="4">
        <v>130</v>
      </c>
    </row>
    <row r="300" spans="1:34" x14ac:dyDescent="0.3">
      <c r="A300" s="4" t="s">
        <v>33</v>
      </c>
      <c r="B300" s="4">
        <v>676</v>
      </c>
      <c r="C300" s="4" t="s">
        <v>43</v>
      </c>
      <c r="D300" s="5">
        <v>44438</v>
      </c>
      <c r="E300" s="6">
        <v>40</v>
      </c>
      <c r="F300" s="6" t="s">
        <v>44</v>
      </c>
      <c r="G300" s="6" t="s">
        <v>39</v>
      </c>
      <c r="H300" s="6">
        <v>70.7</v>
      </c>
      <c r="I300" s="6">
        <v>47.2</v>
      </c>
      <c r="J300" s="4">
        <v>1.9</v>
      </c>
      <c r="K300" s="4">
        <v>7.9</v>
      </c>
      <c r="L300" s="4">
        <v>6.6</v>
      </c>
      <c r="M300" s="4" t="s">
        <v>263</v>
      </c>
      <c r="N300" s="4" t="s">
        <v>264</v>
      </c>
      <c r="O300" s="4">
        <v>5.6</v>
      </c>
      <c r="P300" s="4">
        <v>5.3</v>
      </c>
      <c r="Q300" s="4">
        <v>6.9</v>
      </c>
      <c r="R300" s="4">
        <v>7.6</v>
      </c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>
        <v>1360</v>
      </c>
      <c r="AF300" s="4">
        <v>78</v>
      </c>
      <c r="AG300" s="4">
        <v>36</v>
      </c>
      <c r="AH300" s="14" t="s">
        <v>579</v>
      </c>
    </row>
    <row r="301" spans="1:34" x14ac:dyDescent="0.3">
      <c r="A301" s="4" t="s">
        <v>33</v>
      </c>
      <c r="B301" s="4">
        <v>251</v>
      </c>
      <c r="C301" s="4" t="s">
        <v>43</v>
      </c>
      <c r="D301" s="5" t="s">
        <v>42</v>
      </c>
      <c r="E301" s="6">
        <v>15</v>
      </c>
      <c r="F301" s="6" t="s">
        <v>44</v>
      </c>
      <c r="G301" s="6" t="s">
        <v>39</v>
      </c>
      <c r="H301" s="6">
        <v>71.5</v>
      </c>
      <c r="I301" s="6">
        <v>47.2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>
        <v>1852</v>
      </c>
      <c r="AF301" s="4">
        <v>116</v>
      </c>
      <c r="AG301" s="4">
        <v>78</v>
      </c>
    </row>
    <row r="302" spans="1:34" x14ac:dyDescent="0.3">
      <c r="A302" s="4" t="s">
        <v>33</v>
      </c>
      <c r="B302" s="4">
        <v>222</v>
      </c>
      <c r="C302" s="4" t="s">
        <v>43</v>
      </c>
      <c r="D302" s="5" t="s">
        <v>42</v>
      </c>
      <c r="E302" s="6">
        <v>15</v>
      </c>
      <c r="F302" s="6" t="s">
        <v>44</v>
      </c>
      <c r="G302" s="6" t="s">
        <v>39</v>
      </c>
      <c r="H302" s="6">
        <v>76.7</v>
      </c>
      <c r="I302" s="6">
        <v>47.2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>
        <v>1832</v>
      </c>
      <c r="AF302" s="4">
        <v>88</v>
      </c>
      <c r="AG302" s="4">
        <v>76</v>
      </c>
      <c r="AH302" s="14" t="s">
        <v>516</v>
      </c>
    </row>
    <row r="303" spans="1:34" x14ac:dyDescent="0.3">
      <c r="A303" s="4" t="s">
        <v>33</v>
      </c>
      <c r="B303" s="4">
        <v>599</v>
      </c>
      <c r="C303" s="4" t="s">
        <v>43</v>
      </c>
      <c r="D303" s="5">
        <v>44361</v>
      </c>
      <c r="E303" s="6"/>
      <c r="F303" s="6" t="s">
        <v>44</v>
      </c>
      <c r="G303" s="6" t="s">
        <v>39</v>
      </c>
      <c r="H303" s="6">
        <v>67.400000000000006</v>
      </c>
      <c r="I303" s="6">
        <v>47.3</v>
      </c>
      <c r="J303" s="4">
        <v>1.2</v>
      </c>
      <c r="K303" s="4">
        <v>8.9</v>
      </c>
      <c r="L303" s="4">
        <v>8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>
        <v>1220</v>
      </c>
      <c r="AF303" s="4"/>
      <c r="AG303" s="4"/>
      <c r="AH303" s="14" t="s">
        <v>517</v>
      </c>
    </row>
    <row r="304" spans="1:34" x14ac:dyDescent="0.3">
      <c r="A304" s="4" t="s">
        <v>33</v>
      </c>
      <c r="B304" s="4">
        <v>354</v>
      </c>
      <c r="C304" s="4" t="s">
        <v>46</v>
      </c>
      <c r="D304" s="5">
        <v>44256</v>
      </c>
      <c r="E304" s="6">
        <v>21.9</v>
      </c>
      <c r="F304" s="6" t="s">
        <v>44</v>
      </c>
      <c r="G304" s="6" t="s">
        <v>40</v>
      </c>
      <c r="H304" s="6">
        <v>70.8</v>
      </c>
      <c r="I304" s="6">
        <v>47.3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>
        <v>1692</v>
      </c>
      <c r="AF304" s="4">
        <v>88</v>
      </c>
      <c r="AG304" s="4">
        <v>100</v>
      </c>
      <c r="AH304" s="14" t="s">
        <v>517</v>
      </c>
    </row>
    <row r="305" spans="1:34" x14ac:dyDescent="0.3">
      <c r="A305" s="4" t="s">
        <v>33</v>
      </c>
      <c r="B305" s="4">
        <v>478</v>
      </c>
      <c r="C305" s="4" t="s">
        <v>43</v>
      </c>
      <c r="D305" s="5">
        <v>44336</v>
      </c>
      <c r="E305" s="6"/>
      <c r="F305" s="6" t="s">
        <v>44</v>
      </c>
      <c r="G305" s="6" t="s">
        <v>39</v>
      </c>
      <c r="H305" s="6">
        <v>64.2</v>
      </c>
      <c r="I305" s="6">
        <v>47.5</v>
      </c>
      <c r="J305" s="4">
        <v>1.74</v>
      </c>
      <c r="K305" s="4">
        <v>8.1999999999999993</v>
      </c>
      <c r="L305" s="4">
        <v>8.6999999999999993</v>
      </c>
      <c r="M305" s="4" t="s">
        <v>76</v>
      </c>
      <c r="N305" s="4" t="s">
        <v>77</v>
      </c>
      <c r="O305" s="4">
        <v>8.3000000000000007</v>
      </c>
      <c r="P305" s="4">
        <v>8.06</v>
      </c>
      <c r="Q305" s="4">
        <v>3.9</v>
      </c>
      <c r="R305" s="4">
        <v>3.9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>
        <v>2196</v>
      </c>
      <c r="AF305" s="4">
        <v>118</v>
      </c>
      <c r="AG305" s="4">
        <v>158</v>
      </c>
    </row>
    <row r="306" spans="1:34" x14ac:dyDescent="0.3">
      <c r="A306" s="4" t="s">
        <v>33</v>
      </c>
      <c r="B306" s="4">
        <v>635</v>
      </c>
      <c r="C306" s="4" t="s">
        <v>43</v>
      </c>
      <c r="D306" s="5">
        <v>44403</v>
      </c>
      <c r="E306" s="6">
        <v>21.9</v>
      </c>
      <c r="F306" s="6" t="s">
        <v>44</v>
      </c>
      <c r="G306" s="6" t="s">
        <v>39</v>
      </c>
      <c r="H306" s="6">
        <v>66.5</v>
      </c>
      <c r="I306" s="6">
        <v>47.5</v>
      </c>
      <c r="J306" s="4">
        <v>1.23</v>
      </c>
      <c r="K306" s="4">
        <v>8.2200000000000006</v>
      </c>
      <c r="L306" s="4">
        <v>8.5500000000000007</v>
      </c>
      <c r="M306" s="4"/>
      <c r="N306" s="4"/>
      <c r="O306" s="4">
        <v>5.85</v>
      </c>
      <c r="P306" s="4">
        <v>5.55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 t="s">
        <v>201</v>
      </c>
      <c r="AF306" s="4" t="s">
        <v>201</v>
      </c>
      <c r="AG306" s="4" t="s">
        <v>201</v>
      </c>
      <c r="AH306" s="4" t="s">
        <v>575</v>
      </c>
    </row>
    <row r="307" spans="1:34" x14ac:dyDescent="0.3">
      <c r="A307" s="4" t="s">
        <v>33</v>
      </c>
      <c r="B307" s="4">
        <v>617</v>
      </c>
      <c r="C307" s="4" t="s">
        <v>43</v>
      </c>
      <c r="D307" s="5">
        <v>44403</v>
      </c>
      <c r="E307" s="6">
        <v>40</v>
      </c>
      <c r="F307" s="6" t="s">
        <v>44</v>
      </c>
      <c r="G307" s="6" t="s">
        <v>39</v>
      </c>
      <c r="H307" s="6">
        <v>68.8</v>
      </c>
      <c r="I307" s="6">
        <v>47.5</v>
      </c>
      <c r="J307" s="4"/>
      <c r="K307" s="4">
        <v>3.6</v>
      </c>
      <c r="L307" s="4">
        <v>3.6</v>
      </c>
      <c r="M307" s="4" t="s">
        <v>191</v>
      </c>
      <c r="N307" s="4" t="s">
        <v>192</v>
      </c>
      <c r="O307" s="4"/>
      <c r="P307" s="4"/>
      <c r="Q307" s="4">
        <v>0.9</v>
      </c>
      <c r="R307" s="4">
        <v>0.8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>
        <v>946</v>
      </c>
      <c r="AF307" s="4">
        <v>70</v>
      </c>
      <c r="AG307" s="4">
        <v>4</v>
      </c>
    </row>
    <row r="308" spans="1:34" x14ac:dyDescent="0.3">
      <c r="A308" s="4" t="s">
        <v>33</v>
      </c>
      <c r="B308" s="4">
        <v>1053</v>
      </c>
      <c r="C308" s="4" t="s">
        <v>302</v>
      </c>
      <c r="D308" s="8">
        <v>44835</v>
      </c>
      <c r="E308" s="6">
        <v>20</v>
      </c>
      <c r="F308" s="6" t="s">
        <v>44</v>
      </c>
      <c r="G308" s="6" t="s">
        <v>39</v>
      </c>
      <c r="H308" s="6">
        <v>74.099999999999994</v>
      </c>
      <c r="I308" s="6">
        <v>47.5</v>
      </c>
      <c r="J308" s="4" t="s">
        <v>201</v>
      </c>
      <c r="K308" s="4">
        <v>2</v>
      </c>
      <c r="L308" s="4" t="s">
        <v>201</v>
      </c>
      <c r="M308" s="4" t="s">
        <v>201</v>
      </c>
      <c r="N308" s="4" t="s">
        <v>201</v>
      </c>
      <c r="O308" s="4" t="s">
        <v>201</v>
      </c>
      <c r="P308" s="4" t="s">
        <v>201</v>
      </c>
      <c r="Q308" s="4" t="s">
        <v>201</v>
      </c>
      <c r="R308" s="4" t="s">
        <v>201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>
        <v>540</v>
      </c>
      <c r="AF308" s="4">
        <v>28</v>
      </c>
      <c r="AG308" s="4">
        <v>2</v>
      </c>
    </row>
    <row r="309" spans="1:34" x14ac:dyDescent="0.3">
      <c r="A309" s="4" t="s">
        <v>33</v>
      </c>
      <c r="B309" s="4">
        <v>666</v>
      </c>
      <c r="C309" s="4" t="s">
        <v>43</v>
      </c>
      <c r="D309" s="5">
        <v>44438</v>
      </c>
      <c r="E309" s="6">
        <v>40</v>
      </c>
      <c r="F309" s="6" t="s">
        <v>44</v>
      </c>
      <c r="G309" s="6" t="s">
        <v>39</v>
      </c>
      <c r="H309" s="6">
        <v>67</v>
      </c>
      <c r="I309" s="6">
        <v>47.7</v>
      </c>
      <c r="J309" s="4">
        <v>2.02</v>
      </c>
      <c r="K309" s="4">
        <v>8.86</v>
      </c>
      <c r="L309" s="4">
        <v>8.69</v>
      </c>
      <c r="M309" s="4" t="s">
        <v>245</v>
      </c>
      <c r="N309" s="4" t="s">
        <v>246</v>
      </c>
      <c r="O309" s="4" t="s">
        <v>247</v>
      </c>
      <c r="P309" s="4" t="s">
        <v>248</v>
      </c>
      <c r="Q309" s="4">
        <v>9.23</v>
      </c>
      <c r="R309" s="4">
        <v>9.32</v>
      </c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>
        <v>1472</v>
      </c>
      <c r="AF309" s="4">
        <v>44</v>
      </c>
      <c r="AG309" s="4">
        <v>122</v>
      </c>
      <c r="AH309" s="14" t="s">
        <v>577</v>
      </c>
    </row>
    <row r="310" spans="1:34" x14ac:dyDescent="0.3">
      <c r="A310" s="4" t="s">
        <v>33</v>
      </c>
      <c r="B310" s="4">
        <v>514</v>
      </c>
      <c r="C310" s="4" t="s">
        <v>43</v>
      </c>
      <c r="D310" s="5">
        <v>44336</v>
      </c>
      <c r="E310" s="6"/>
      <c r="F310" s="6" t="s">
        <v>44</v>
      </c>
      <c r="G310" s="6" t="s">
        <v>39</v>
      </c>
      <c r="H310" s="6">
        <v>67.5</v>
      </c>
      <c r="I310" s="6">
        <v>47.7</v>
      </c>
      <c r="J310" s="4">
        <v>1.65</v>
      </c>
      <c r="K310" s="4">
        <v>6.45</v>
      </c>
      <c r="L310" s="4">
        <v>6.45</v>
      </c>
      <c r="M310" s="4" t="s">
        <v>99</v>
      </c>
      <c r="N310" s="4" t="s">
        <v>100</v>
      </c>
      <c r="O310" s="4" t="s">
        <v>101</v>
      </c>
      <c r="P310" s="4" t="s">
        <v>101</v>
      </c>
      <c r="Q310" s="4">
        <v>10.65</v>
      </c>
      <c r="R310" s="4">
        <v>10.65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>
        <v>1614</v>
      </c>
      <c r="AF310" s="4">
        <v>90</v>
      </c>
      <c r="AG310" s="4">
        <v>70</v>
      </c>
    </row>
    <row r="311" spans="1:34" x14ac:dyDescent="0.3">
      <c r="A311" s="4" t="s">
        <v>33</v>
      </c>
      <c r="B311" s="4">
        <v>984</v>
      </c>
      <c r="C311" s="4" t="s">
        <v>302</v>
      </c>
      <c r="D311" s="4" t="s">
        <v>325</v>
      </c>
      <c r="E311" s="6">
        <v>40</v>
      </c>
      <c r="F311" s="6" t="s">
        <v>44</v>
      </c>
      <c r="G311" s="6" t="s">
        <v>39</v>
      </c>
      <c r="H311" s="6">
        <v>76.5</v>
      </c>
      <c r="I311" s="6">
        <v>47.8</v>
      </c>
      <c r="J311" s="4">
        <v>1.6</v>
      </c>
      <c r="K311" s="4">
        <v>8.6300000000000008</v>
      </c>
      <c r="L311" s="4">
        <v>8.15</v>
      </c>
      <c r="M311" s="4" t="s">
        <v>201</v>
      </c>
      <c r="N311" s="4" t="s">
        <v>201</v>
      </c>
      <c r="O311" s="4">
        <v>9.7100000000000009</v>
      </c>
      <c r="P311" s="4">
        <v>9.36</v>
      </c>
      <c r="Q311" s="4" t="s">
        <v>201</v>
      </c>
      <c r="R311" s="4" t="s">
        <v>201</v>
      </c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>
        <v>1484</v>
      </c>
      <c r="AF311" s="4" t="s">
        <v>81</v>
      </c>
      <c r="AG311" s="4">
        <v>84</v>
      </c>
    </row>
    <row r="312" spans="1:34" x14ac:dyDescent="0.3">
      <c r="A312" s="4" t="s">
        <v>33</v>
      </c>
      <c r="B312" s="4">
        <v>660</v>
      </c>
      <c r="C312" s="4" t="s">
        <v>43</v>
      </c>
      <c r="D312" s="5">
        <v>44438</v>
      </c>
      <c r="E312" s="6">
        <v>40</v>
      </c>
      <c r="F312" s="6" t="s">
        <v>44</v>
      </c>
      <c r="G312" s="6" t="s">
        <v>39</v>
      </c>
      <c r="H312" s="6">
        <v>68.099999999999994</v>
      </c>
      <c r="I312" s="6">
        <v>47.9</v>
      </c>
      <c r="J312" s="4">
        <v>1.03</v>
      </c>
      <c r="K312" s="4">
        <v>7.83</v>
      </c>
      <c r="L312" s="4">
        <v>8.25</v>
      </c>
      <c r="M312" s="4" t="s">
        <v>233</v>
      </c>
      <c r="N312" s="4" t="s">
        <v>234</v>
      </c>
      <c r="O312" s="4" t="s">
        <v>235</v>
      </c>
      <c r="P312" s="4" t="s">
        <v>236</v>
      </c>
      <c r="Q312" s="4">
        <v>9.7200000000000006</v>
      </c>
      <c r="R312" s="4">
        <v>8.83</v>
      </c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>
        <v>1652</v>
      </c>
      <c r="AF312" s="4">
        <v>74</v>
      </c>
      <c r="AG312" s="4">
        <v>122</v>
      </c>
      <c r="AH312" s="14" t="s">
        <v>577</v>
      </c>
    </row>
    <row r="313" spans="1:34" x14ac:dyDescent="0.3">
      <c r="A313" s="4" t="s">
        <v>33</v>
      </c>
      <c r="B313" s="4">
        <v>357</v>
      </c>
      <c r="C313" s="4" t="s">
        <v>46</v>
      </c>
      <c r="D313" s="5">
        <v>44256</v>
      </c>
      <c r="E313" s="6">
        <v>21.9</v>
      </c>
      <c r="F313" s="6" t="s">
        <v>44</v>
      </c>
      <c r="G313" s="6" t="s">
        <v>39</v>
      </c>
      <c r="H313" s="6">
        <v>70.2</v>
      </c>
      <c r="I313" s="6">
        <v>47.9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>
        <v>694</v>
      </c>
      <c r="AF313" s="4">
        <v>36</v>
      </c>
      <c r="AG313" s="4">
        <v>6</v>
      </c>
    </row>
    <row r="314" spans="1:34" x14ac:dyDescent="0.3">
      <c r="A314" s="4" t="s">
        <v>33</v>
      </c>
      <c r="B314" s="4">
        <v>490</v>
      </c>
      <c r="C314" s="4" t="s">
        <v>43</v>
      </c>
      <c r="D314" s="5">
        <v>44336</v>
      </c>
      <c r="E314" s="6"/>
      <c r="F314" s="6" t="s">
        <v>44</v>
      </c>
      <c r="G314" s="6" t="s">
        <v>39</v>
      </c>
      <c r="H314" s="6">
        <v>73.599999999999994</v>
      </c>
      <c r="I314" s="6">
        <v>47.9</v>
      </c>
      <c r="J314" s="4">
        <v>1.67</v>
      </c>
      <c r="K314" s="4">
        <v>7.3</v>
      </c>
      <c r="L314" s="4">
        <v>6.52</v>
      </c>
      <c r="M314" s="4" t="s">
        <v>83</v>
      </c>
      <c r="N314" s="4" t="s">
        <v>84</v>
      </c>
      <c r="O314" s="4">
        <v>7.13</v>
      </c>
      <c r="P314" s="4">
        <v>7.02</v>
      </c>
      <c r="Q314" s="4">
        <v>11.55</v>
      </c>
      <c r="R314" s="4">
        <v>10.83</v>
      </c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>
        <v>2228</v>
      </c>
      <c r="AF314" s="4">
        <v>100</v>
      </c>
      <c r="AG314" s="4">
        <v>148</v>
      </c>
    </row>
    <row r="315" spans="1:34" x14ac:dyDescent="0.3">
      <c r="A315" s="4" t="s">
        <v>33</v>
      </c>
      <c r="B315" s="4">
        <v>649</v>
      </c>
      <c r="C315" s="4" t="s">
        <v>36</v>
      </c>
      <c r="D315" s="5" t="s">
        <v>204</v>
      </c>
      <c r="E315" s="6">
        <v>20</v>
      </c>
      <c r="F315" s="6" t="s">
        <v>44</v>
      </c>
      <c r="G315" s="6" t="s">
        <v>39</v>
      </c>
      <c r="H315" s="6">
        <v>69</v>
      </c>
      <c r="I315" s="6">
        <v>48</v>
      </c>
      <c r="J315" s="4">
        <v>1.99</v>
      </c>
      <c r="K315" s="4">
        <v>7.56</v>
      </c>
      <c r="L315" s="4">
        <v>7.75</v>
      </c>
      <c r="M315" s="4" t="s">
        <v>220</v>
      </c>
      <c r="N315" s="4" t="s">
        <v>221</v>
      </c>
      <c r="O315" s="4" t="s">
        <v>222</v>
      </c>
      <c r="P315" s="4" t="s">
        <v>223</v>
      </c>
      <c r="Q315" s="4">
        <v>9.5299999999999994</v>
      </c>
      <c r="R315" s="4">
        <v>8.98</v>
      </c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>
        <v>1268</v>
      </c>
      <c r="AF315" s="4">
        <v>66</v>
      </c>
      <c r="AG315" s="4">
        <v>74</v>
      </c>
    </row>
    <row r="316" spans="1:34" x14ac:dyDescent="0.3">
      <c r="A316" s="4" t="s">
        <v>33</v>
      </c>
      <c r="B316" s="4">
        <v>236</v>
      </c>
      <c r="C316" s="4" t="s">
        <v>43</v>
      </c>
      <c r="D316" s="5" t="s">
        <v>42</v>
      </c>
      <c r="E316" s="6">
        <v>15</v>
      </c>
      <c r="F316" s="6" t="s">
        <v>44</v>
      </c>
      <c r="G316" s="6" t="s">
        <v>39</v>
      </c>
      <c r="H316" s="6">
        <v>72</v>
      </c>
      <c r="I316" s="6">
        <v>48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>
        <v>1606</v>
      </c>
      <c r="AF316" s="4">
        <v>83</v>
      </c>
      <c r="AG316" s="4">
        <v>44</v>
      </c>
    </row>
    <row r="317" spans="1:34" x14ac:dyDescent="0.3">
      <c r="A317" s="4" t="s">
        <v>33</v>
      </c>
      <c r="B317" s="4">
        <v>695</v>
      </c>
      <c r="C317" s="4" t="s">
        <v>43</v>
      </c>
      <c r="D317" s="5">
        <v>44438</v>
      </c>
      <c r="E317" s="6">
        <v>20</v>
      </c>
      <c r="F317" s="6" t="s">
        <v>44</v>
      </c>
      <c r="G317" s="6" t="s">
        <v>39</v>
      </c>
      <c r="H317" s="6">
        <v>72.3</v>
      </c>
      <c r="I317" s="6">
        <v>48</v>
      </c>
      <c r="J317" s="4">
        <v>1.85</v>
      </c>
      <c r="K317" s="4">
        <v>8</v>
      </c>
      <c r="L317" s="4">
        <v>8.4</v>
      </c>
      <c r="M317" s="4" t="s">
        <v>297</v>
      </c>
      <c r="N317" s="4" t="s">
        <v>298</v>
      </c>
      <c r="O317" s="4" t="s">
        <v>299</v>
      </c>
      <c r="P317" s="4" t="s">
        <v>300</v>
      </c>
      <c r="Q317" s="4">
        <v>9.0299999999999994</v>
      </c>
      <c r="R317" s="4">
        <v>8.3000000000000007</v>
      </c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>
        <v>1714</v>
      </c>
      <c r="AF317" s="4">
        <v>56</v>
      </c>
      <c r="AG317" s="4">
        <v>124</v>
      </c>
    </row>
    <row r="318" spans="1:34" x14ac:dyDescent="0.3">
      <c r="A318" s="4" t="s">
        <v>33</v>
      </c>
      <c r="B318" s="4">
        <v>479</v>
      </c>
      <c r="C318" s="4" t="s">
        <v>43</v>
      </c>
      <c r="D318" s="5">
        <v>44336</v>
      </c>
      <c r="E318" s="6"/>
      <c r="F318" s="6" t="s">
        <v>44</v>
      </c>
      <c r="G318" s="6" t="s">
        <v>39</v>
      </c>
      <c r="H318" s="6">
        <v>71.8</v>
      </c>
      <c r="I318" s="6">
        <v>48.1</v>
      </c>
      <c r="J318" s="4"/>
      <c r="K318" s="4">
        <v>8</v>
      </c>
      <c r="L318" s="4">
        <v>8</v>
      </c>
      <c r="M318" s="4" t="s">
        <v>78</v>
      </c>
      <c r="N318" s="4" t="s">
        <v>79</v>
      </c>
      <c r="O318" s="4">
        <v>8.98</v>
      </c>
      <c r="P318" s="4">
        <v>8.98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>
        <v>1430</v>
      </c>
      <c r="AF318" s="4">
        <v>52</v>
      </c>
      <c r="AG318" s="4">
        <v>108</v>
      </c>
    </row>
    <row r="319" spans="1:34" x14ac:dyDescent="0.3">
      <c r="A319" s="4" t="s">
        <v>33</v>
      </c>
      <c r="B319" s="4">
        <v>689</v>
      </c>
      <c r="C319" s="4" t="s">
        <v>43</v>
      </c>
      <c r="D319" s="5">
        <v>44438</v>
      </c>
      <c r="E319" s="6">
        <v>20</v>
      </c>
      <c r="F319" s="6" t="s">
        <v>44</v>
      </c>
      <c r="G319" s="6" t="s">
        <v>39</v>
      </c>
      <c r="H319" s="6">
        <v>72.7</v>
      </c>
      <c r="I319" s="6">
        <v>48.1</v>
      </c>
      <c r="J319" s="4">
        <v>2.0699999999999998</v>
      </c>
      <c r="K319" s="4">
        <v>7.88</v>
      </c>
      <c r="L319" s="4">
        <v>7.98</v>
      </c>
      <c r="M319" s="4" t="s">
        <v>282</v>
      </c>
      <c r="N319" s="4" t="s">
        <v>283</v>
      </c>
      <c r="O319" s="4" t="s">
        <v>284</v>
      </c>
      <c r="P319" s="4" t="s">
        <v>285</v>
      </c>
      <c r="Q319" s="4">
        <v>10.16</v>
      </c>
      <c r="R319" s="4">
        <v>10.28</v>
      </c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>
        <v>1918</v>
      </c>
      <c r="AF319" s="4">
        <v>80</v>
      </c>
      <c r="AG319" s="4">
        <v>152</v>
      </c>
    </row>
    <row r="320" spans="1:34" x14ac:dyDescent="0.3">
      <c r="A320" s="4" t="s">
        <v>33</v>
      </c>
      <c r="B320" s="4">
        <v>692</v>
      </c>
      <c r="C320" s="4" t="s">
        <v>43</v>
      </c>
      <c r="D320" s="5">
        <v>44438</v>
      </c>
      <c r="E320" s="6">
        <v>20</v>
      </c>
      <c r="F320" s="6" t="s">
        <v>44</v>
      </c>
      <c r="G320" s="6" t="s">
        <v>39</v>
      </c>
      <c r="H320" s="6">
        <v>73.5</v>
      </c>
      <c r="I320" s="6">
        <v>48.1</v>
      </c>
      <c r="J320" s="4">
        <v>1.95</v>
      </c>
      <c r="K320" s="4">
        <v>6.8</v>
      </c>
      <c r="L320" s="4">
        <v>8</v>
      </c>
      <c r="M320" s="4" t="s">
        <v>287</v>
      </c>
      <c r="N320" s="4" t="s">
        <v>288</v>
      </c>
      <c r="O320" s="4" t="s">
        <v>289</v>
      </c>
      <c r="P320" s="4" t="s">
        <v>290</v>
      </c>
      <c r="Q320" s="4">
        <v>7.9</v>
      </c>
      <c r="R320" s="4">
        <v>8.4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>
        <v>1854</v>
      </c>
      <c r="AF320" s="4">
        <v>82</v>
      </c>
      <c r="AG320" s="4">
        <v>120</v>
      </c>
    </row>
    <row r="321" spans="1:34" x14ac:dyDescent="0.3">
      <c r="A321" s="4" t="s">
        <v>33</v>
      </c>
      <c r="B321" s="4">
        <v>487</v>
      </c>
      <c r="C321" s="4" t="s">
        <v>43</v>
      </c>
      <c r="D321" s="5">
        <v>44336</v>
      </c>
      <c r="E321" s="6"/>
      <c r="F321" s="6" t="s">
        <v>44</v>
      </c>
      <c r="G321" s="6" t="s">
        <v>39</v>
      </c>
      <c r="H321" s="6">
        <v>63.7</v>
      </c>
      <c r="I321" s="6">
        <v>48.2</v>
      </c>
      <c r="J321" s="4"/>
      <c r="K321" s="4">
        <v>1.1000000000000001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>
        <v>438</v>
      </c>
      <c r="AF321" s="4">
        <v>18</v>
      </c>
      <c r="AG321" s="4">
        <v>2</v>
      </c>
      <c r="AH321" s="14" t="s">
        <v>553</v>
      </c>
    </row>
    <row r="322" spans="1:34" x14ac:dyDescent="0.3">
      <c r="A322" s="4" t="s">
        <v>33</v>
      </c>
      <c r="B322" s="4">
        <v>1084</v>
      </c>
      <c r="C322" s="4" t="s">
        <v>302</v>
      </c>
      <c r="D322" s="11" t="s">
        <v>437</v>
      </c>
      <c r="E322" s="6">
        <v>36</v>
      </c>
      <c r="F322" s="6" t="s">
        <v>44</v>
      </c>
      <c r="G322" s="6" t="s">
        <v>39</v>
      </c>
      <c r="H322" s="6">
        <v>67.8</v>
      </c>
      <c r="I322" s="6">
        <v>48.3</v>
      </c>
      <c r="J322" s="4">
        <v>1.8</v>
      </c>
      <c r="K322" s="4">
        <v>5.4</v>
      </c>
      <c r="L322" s="4">
        <v>4.0999999999999996</v>
      </c>
      <c r="M322" s="4" t="s">
        <v>444</v>
      </c>
      <c r="N322" s="4" t="s">
        <v>445</v>
      </c>
      <c r="O322" s="4" t="s">
        <v>201</v>
      </c>
      <c r="P322" s="4" t="s">
        <v>201</v>
      </c>
      <c r="Q322" s="4" t="s">
        <v>201</v>
      </c>
      <c r="R322" s="4" t="s">
        <v>201</v>
      </c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>
        <v>1110</v>
      </c>
      <c r="AF322" s="4">
        <v>64</v>
      </c>
      <c r="AG322" s="4">
        <v>3</v>
      </c>
    </row>
    <row r="323" spans="1:34" x14ac:dyDescent="0.3">
      <c r="A323" s="4" t="s">
        <v>33</v>
      </c>
      <c r="B323" s="4">
        <v>675</v>
      </c>
      <c r="C323" s="4" t="s">
        <v>43</v>
      </c>
      <c r="D323" s="5">
        <v>44438</v>
      </c>
      <c r="E323" s="6">
        <v>40</v>
      </c>
      <c r="F323" s="6" t="s">
        <v>44</v>
      </c>
      <c r="G323" s="6" t="s">
        <v>39</v>
      </c>
      <c r="H323" s="6">
        <v>70.7</v>
      </c>
      <c r="I323" s="6">
        <v>48.3</v>
      </c>
      <c r="J323" s="4"/>
      <c r="K323" s="4">
        <v>8.18</v>
      </c>
      <c r="L323" s="4">
        <v>8.6999999999999993</v>
      </c>
      <c r="M323" s="4">
        <v>6.52</v>
      </c>
      <c r="N323" s="4">
        <v>6.82</v>
      </c>
      <c r="O323" s="4">
        <v>7.24</v>
      </c>
      <c r="P323" s="4">
        <v>7.2</v>
      </c>
      <c r="Q323" s="4">
        <v>9.66</v>
      </c>
      <c r="R323" s="4">
        <v>8.76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>
        <v>1660</v>
      </c>
      <c r="AF323" s="4">
        <v>74</v>
      </c>
      <c r="AG323" s="4">
        <v>130</v>
      </c>
      <c r="AH323" s="14" t="s">
        <v>579</v>
      </c>
    </row>
    <row r="324" spans="1:34" x14ac:dyDescent="0.3">
      <c r="A324" s="4" t="s">
        <v>33</v>
      </c>
      <c r="B324" s="4">
        <v>1015</v>
      </c>
      <c r="C324" s="4" t="s">
        <v>302</v>
      </c>
      <c r="D324" s="4" t="s">
        <v>325</v>
      </c>
      <c r="E324" s="6">
        <v>40</v>
      </c>
      <c r="F324" s="6" t="s">
        <v>44</v>
      </c>
      <c r="G324" s="6" t="s">
        <v>39</v>
      </c>
      <c r="H324" s="6">
        <v>71.2</v>
      </c>
      <c r="I324" s="6">
        <v>48.3</v>
      </c>
      <c r="J324" s="4">
        <v>2.1</v>
      </c>
      <c r="K324" s="4">
        <v>7.9</v>
      </c>
      <c r="L324" s="4">
        <v>8.1</v>
      </c>
      <c r="M324" s="4" t="s">
        <v>378</v>
      </c>
      <c r="N324" s="4" t="s">
        <v>379</v>
      </c>
      <c r="O324" s="4">
        <v>9.6</v>
      </c>
      <c r="P324" s="4">
        <v>9.5</v>
      </c>
      <c r="Q324" s="4">
        <v>4.2</v>
      </c>
      <c r="R324" s="4">
        <v>3.9</v>
      </c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>
        <v>1452</v>
      </c>
      <c r="AF324" s="4">
        <v>68</v>
      </c>
      <c r="AG324" s="4">
        <v>80</v>
      </c>
    </row>
    <row r="325" spans="1:34" x14ac:dyDescent="0.3">
      <c r="A325" s="4" t="s">
        <v>33</v>
      </c>
      <c r="B325" s="4">
        <v>1115</v>
      </c>
      <c r="C325" s="4" t="s">
        <v>302</v>
      </c>
      <c r="D325" s="11" t="s">
        <v>447</v>
      </c>
      <c r="E325" s="13">
        <v>45268</v>
      </c>
      <c r="F325" s="6" t="s">
        <v>44</v>
      </c>
      <c r="G325" s="6" t="s">
        <v>39</v>
      </c>
      <c r="H325" s="6">
        <v>73.099999999999994</v>
      </c>
      <c r="I325" s="6">
        <v>48.3</v>
      </c>
      <c r="J325" s="4">
        <v>1.38</v>
      </c>
      <c r="K325" s="4">
        <v>9.2100000000000009</v>
      </c>
      <c r="L325" s="4">
        <v>8.51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>
        <v>1026</v>
      </c>
      <c r="AF325" s="4"/>
      <c r="AG325" s="4"/>
    </row>
    <row r="326" spans="1:34" x14ac:dyDescent="0.3">
      <c r="A326" s="4" t="s">
        <v>33</v>
      </c>
      <c r="B326" s="4">
        <v>417</v>
      </c>
      <c r="C326" s="4" t="s">
        <v>43</v>
      </c>
      <c r="D326" s="5">
        <v>44256</v>
      </c>
      <c r="E326" s="6">
        <v>21.9</v>
      </c>
      <c r="F326" s="6" t="s">
        <v>44</v>
      </c>
      <c r="G326" s="6" t="s">
        <v>39</v>
      </c>
      <c r="H326" s="6">
        <v>76.599999999999994</v>
      </c>
      <c r="I326" s="6">
        <v>48.4</v>
      </c>
      <c r="J326" s="4"/>
      <c r="K326" s="4">
        <v>5.7</v>
      </c>
      <c r="L326" s="4">
        <v>5.5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>
        <v>1142</v>
      </c>
      <c r="AF326" s="4">
        <v>70</v>
      </c>
      <c r="AG326" s="4">
        <v>18</v>
      </c>
    </row>
    <row r="327" spans="1:34" x14ac:dyDescent="0.3">
      <c r="A327" s="4" t="s">
        <v>33</v>
      </c>
      <c r="B327" s="4">
        <v>1017</v>
      </c>
      <c r="C327" s="4" t="s">
        <v>302</v>
      </c>
      <c r="D327" s="4" t="s">
        <v>325</v>
      </c>
      <c r="E327" s="6">
        <v>40</v>
      </c>
      <c r="F327" s="6" t="s">
        <v>44</v>
      </c>
      <c r="G327" s="6" t="s">
        <v>39</v>
      </c>
      <c r="H327" s="6">
        <v>63.2</v>
      </c>
      <c r="I327" s="6">
        <v>48.5</v>
      </c>
      <c r="J327" s="4">
        <v>1.98</v>
      </c>
      <c r="K327" s="4">
        <v>7.46</v>
      </c>
      <c r="L327" s="4">
        <v>7.86</v>
      </c>
      <c r="M327" s="4" t="s">
        <v>382</v>
      </c>
      <c r="N327" s="4" t="s">
        <v>383</v>
      </c>
      <c r="O327" s="4" t="s">
        <v>201</v>
      </c>
      <c r="P327" s="4" t="s">
        <v>201</v>
      </c>
      <c r="Q327" s="4" t="s">
        <v>201</v>
      </c>
      <c r="R327" s="4" t="s">
        <v>201</v>
      </c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>
        <v>826</v>
      </c>
      <c r="AF327" s="4">
        <v>28</v>
      </c>
      <c r="AG327" s="4">
        <v>36</v>
      </c>
    </row>
    <row r="328" spans="1:34" x14ac:dyDescent="0.3">
      <c r="A328" s="4" t="s">
        <v>33</v>
      </c>
      <c r="B328" s="4">
        <v>847</v>
      </c>
      <c r="C328" s="4" t="s">
        <v>303</v>
      </c>
      <c r="D328" s="5">
        <v>44480</v>
      </c>
      <c r="E328" s="6">
        <v>40</v>
      </c>
      <c r="F328" s="6" t="s">
        <v>44</v>
      </c>
      <c r="G328" s="6" t="s">
        <v>39</v>
      </c>
      <c r="H328" s="6">
        <v>73.3</v>
      </c>
      <c r="I328" s="6">
        <v>48.5</v>
      </c>
      <c r="J328" s="4" t="s">
        <v>201</v>
      </c>
      <c r="K328" s="4">
        <v>7.41</v>
      </c>
      <c r="L328" s="4">
        <v>7.32</v>
      </c>
      <c r="M328" s="4" t="s">
        <v>312</v>
      </c>
      <c r="N328" s="4" t="s">
        <v>313</v>
      </c>
      <c r="O328" s="4">
        <v>9.82</v>
      </c>
      <c r="P328" s="4">
        <v>9.48</v>
      </c>
      <c r="Q328" s="4">
        <v>8.61</v>
      </c>
      <c r="R328" s="4">
        <v>8.49</v>
      </c>
      <c r="S328" s="4"/>
      <c r="T328" s="4"/>
      <c r="U328" s="4"/>
      <c r="V328" s="4"/>
      <c r="W328" s="4" t="s">
        <v>201</v>
      </c>
      <c r="X328" s="4" t="s">
        <v>201</v>
      </c>
      <c r="Y328" s="4" t="s">
        <v>201</v>
      </c>
      <c r="Z328" s="4" t="s">
        <v>201</v>
      </c>
      <c r="AA328" s="4"/>
      <c r="AB328" s="4"/>
      <c r="AC328" s="4"/>
      <c r="AD328" s="4"/>
      <c r="AE328" s="4">
        <v>1636</v>
      </c>
      <c r="AF328" s="4">
        <v>84</v>
      </c>
      <c r="AG328" s="4">
        <v>116</v>
      </c>
    </row>
    <row r="329" spans="1:34" x14ac:dyDescent="0.3">
      <c r="A329" s="4" t="s">
        <v>33</v>
      </c>
      <c r="B329" s="4">
        <v>1066</v>
      </c>
      <c r="C329" s="4" t="s">
        <v>302</v>
      </c>
      <c r="D329" s="8">
        <v>44835</v>
      </c>
      <c r="E329" s="6">
        <v>20</v>
      </c>
      <c r="F329" s="6" t="s">
        <v>44</v>
      </c>
      <c r="G329" s="6" t="s">
        <v>39</v>
      </c>
      <c r="H329" s="6">
        <v>74.5</v>
      </c>
      <c r="I329" s="6">
        <v>48.5</v>
      </c>
      <c r="J329" s="4">
        <v>1.8</v>
      </c>
      <c r="K329" s="4">
        <v>10.7</v>
      </c>
      <c r="L329" s="4">
        <v>10.4</v>
      </c>
      <c r="M329" s="4" t="s">
        <v>418</v>
      </c>
      <c r="N329" s="4" t="s">
        <v>419</v>
      </c>
      <c r="O329" s="4">
        <v>8.34</v>
      </c>
      <c r="P329" s="4">
        <v>8.24</v>
      </c>
      <c r="Q329" s="4">
        <v>9.3000000000000007</v>
      </c>
      <c r="R329" s="4">
        <v>9</v>
      </c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>
        <v>1528</v>
      </c>
      <c r="AF329" s="4">
        <v>82</v>
      </c>
      <c r="AG329" s="4">
        <v>78</v>
      </c>
    </row>
    <row r="330" spans="1:34" x14ac:dyDescent="0.3">
      <c r="A330" s="4" t="s">
        <v>33</v>
      </c>
      <c r="B330" s="4">
        <v>1123</v>
      </c>
      <c r="C330" s="4" t="s">
        <v>302</v>
      </c>
      <c r="D330" s="11" t="s">
        <v>447</v>
      </c>
      <c r="E330" s="13">
        <v>45270</v>
      </c>
      <c r="F330" s="6" t="s">
        <v>44</v>
      </c>
      <c r="G330" s="6" t="s">
        <v>39</v>
      </c>
      <c r="H330" s="6">
        <v>63.4</v>
      </c>
      <c r="I330" s="6">
        <v>48.6</v>
      </c>
      <c r="J330" s="4">
        <v>1.01</v>
      </c>
      <c r="K330" s="4">
        <v>5.95</v>
      </c>
      <c r="L330" s="4">
        <v>5.89</v>
      </c>
      <c r="M330" s="4" t="s">
        <v>485</v>
      </c>
      <c r="N330" s="4" t="s">
        <v>486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>
        <v>868</v>
      </c>
      <c r="AF330" s="4">
        <v>44</v>
      </c>
      <c r="AG330" s="4">
        <v>2</v>
      </c>
    </row>
    <row r="331" spans="1:34" x14ac:dyDescent="0.3">
      <c r="A331" s="4" t="s">
        <v>33</v>
      </c>
      <c r="B331" s="4">
        <v>502</v>
      </c>
      <c r="C331" s="4" t="s">
        <v>43</v>
      </c>
      <c r="D331" s="5">
        <v>44336</v>
      </c>
      <c r="E331" s="6"/>
      <c r="F331" s="6" t="s">
        <v>44</v>
      </c>
      <c r="G331" s="6" t="s">
        <v>39</v>
      </c>
      <c r="H331" s="6">
        <v>74.400000000000006</v>
      </c>
      <c r="I331" s="6">
        <v>48.7</v>
      </c>
      <c r="J331" s="4">
        <v>2.13</v>
      </c>
      <c r="K331" s="4">
        <v>6.81</v>
      </c>
      <c r="L331" s="4">
        <v>7.9</v>
      </c>
      <c r="M331" s="4">
        <v>7</v>
      </c>
      <c r="N331" s="4">
        <v>7.11</v>
      </c>
      <c r="O331" s="4"/>
      <c r="P331" s="4"/>
      <c r="Q331" s="4">
        <v>7.47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>
        <v>1736</v>
      </c>
      <c r="AF331" s="4">
        <v>94</v>
      </c>
      <c r="AG331" s="4">
        <v>114</v>
      </c>
      <c r="AH331" s="14" t="s">
        <v>517</v>
      </c>
    </row>
    <row r="332" spans="1:34" x14ac:dyDescent="0.3">
      <c r="A332" s="4" t="s">
        <v>33</v>
      </c>
      <c r="B332" s="4">
        <v>690</v>
      </c>
      <c r="C332" s="4" t="s">
        <v>43</v>
      </c>
      <c r="D332" s="5">
        <v>44438</v>
      </c>
      <c r="E332" s="6">
        <v>20</v>
      </c>
      <c r="F332" s="6" t="s">
        <v>44</v>
      </c>
      <c r="G332" s="6" t="s">
        <v>39</v>
      </c>
      <c r="H332" s="6">
        <v>67.5</v>
      </c>
      <c r="I332" s="6">
        <v>48.9</v>
      </c>
      <c r="J332" s="4">
        <v>1.4</v>
      </c>
      <c r="K332" s="4">
        <v>6.98</v>
      </c>
      <c r="L332" s="4">
        <v>7.2</v>
      </c>
      <c r="M332" s="4">
        <v>7.83</v>
      </c>
      <c r="N332" s="4">
        <v>8.1</v>
      </c>
      <c r="O332" s="4">
        <v>6.05</v>
      </c>
      <c r="P332" s="4">
        <v>6.1</v>
      </c>
      <c r="Q332" s="4">
        <v>10</v>
      </c>
      <c r="R332" s="4">
        <v>10.23</v>
      </c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>
        <v>1988</v>
      </c>
      <c r="AF332" s="4">
        <v>80</v>
      </c>
      <c r="AG332" s="4">
        <v>168</v>
      </c>
    </row>
    <row r="333" spans="1:34" x14ac:dyDescent="0.3">
      <c r="A333" s="4" t="s">
        <v>33</v>
      </c>
      <c r="B333" s="4">
        <v>631</v>
      </c>
      <c r="C333" s="4" t="s">
        <v>43</v>
      </c>
      <c r="D333" s="5">
        <v>44403</v>
      </c>
      <c r="E333" s="6">
        <v>40</v>
      </c>
      <c r="F333" s="6" t="s">
        <v>44</v>
      </c>
      <c r="G333" s="6" t="s">
        <v>39</v>
      </c>
      <c r="H333" s="6">
        <v>72.2</v>
      </c>
      <c r="I333" s="6">
        <v>48.9</v>
      </c>
      <c r="J333" s="4"/>
      <c r="K333" s="4">
        <v>8.4</v>
      </c>
      <c r="L333" s="4">
        <v>8.36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 t="s">
        <v>201</v>
      </c>
      <c r="AF333" s="4" t="s">
        <v>201</v>
      </c>
      <c r="AG333" s="4" t="s">
        <v>201</v>
      </c>
      <c r="AH333" s="4" t="s">
        <v>574</v>
      </c>
    </row>
    <row r="334" spans="1:34" x14ac:dyDescent="0.3">
      <c r="A334" s="4" t="s">
        <v>33</v>
      </c>
      <c r="B334" s="4">
        <v>1105</v>
      </c>
      <c r="C334" s="4" t="s">
        <v>302</v>
      </c>
      <c r="D334" s="11" t="s">
        <v>447</v>
      </c>
      <c r="E334" s="6" t="s">
        <v>453</v>
      </c>
      <c r="F334" s="6" t="s">
        <v>44</v>
      </c>
      <c r="G334" s="6" t="s">
        <v>40</v>
      </c>
      <c r="H334" s="6">
        <v>65.5</v>
      </c>
      <c r="I334" s="6">
        <v>49</v>
      </c>
      <c r="J334" s="4">
        <v>1.4</v>
      </c>
      <c r="K334" s="4">
        <v>7.38</v>
      </c>
      <c r="L334" s="4">
        <v>7.5</v>
      </c>
      <c r="M334" s="4" t="s">
        <v>455</v>
      </c>
      <c r="N334" s="4" t="s">
        <v>456</v>
      </c>
      <c r="O334" s="4">
        <v>8.6999999999999993</v>
      </c>
      <c r="P334" s="4">
        <v>8.75</v>
      </c>
      <c r="Q334" s="4">
        <v>8.64</v>
      </c>
      <c r="R334" s="4">
        <v>9.0399999999999991</v>
      </c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>
        <v>1550</v>
      </c>
      <c r="AF334" s="4">
        <v>16</v>
      </c>
      <c r="AG334" s="4">
        <v>82</v>
      </c>
    </row>
    <row r="335" spans="1:34" x14ac:dyDescent="0.3">
      <c r="A335" s="4" t="s">
        <v>33</v>
      </c>
      <c r="B335" s="4">
        <v>665</v>
      </c>
      <c r="C335" s="4" t="s">
        <v>47</v>
      </c>
      <c r="D335" s="5">
        <v>44438</v>
      </c>
      <c r="E335" s="6">
        <v>40</v>
      </c>
      <c r="F335" s="6" t="s">
        <v>44</v>
      </c>
      <c r="G335" s="6" t="s">
        <v>39</v>
      </c>
      <c r="H335" s="6">
        <v>68.8</v>
      </c>
      <c r="I335" s="6">
        <v>49</v>
      </c>
      <c r="J335" s="4">
        <v>2.12</v>
      </c>
      <c r="K335" s="4">
        <v>7.67</v>
      </c>
      <c r="L335" s="4">
        <v>7.61</v>
      </c>
      <c r="M335" s="4" t="s">
        <v>241</v>
      </c>
      <c r="N335" s="4" t="s">
        <v>242</v>
      </c>
      <c r="O335" s="4" t="s">
        <v>243</v>
      </c>
      <c r="P335" s="4" t="s">
        <v>244</v>
      </c>
      <c r="Q335" s="4">
        <v>10.69</v>
      </c>
      <c r="R335" s="4">
        <v>10.199999999999999</v>
      </c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>
        <v>1944</v>
      </c>
      <c r="AF335" s="4">
        <v>84</v>
      </c>
      <c r="AG335" s="4">
        <v>150</v>
      </c>
      <c r="AH335" s="14" t="s">
        <v>577</v>
      </c>
    </row>
    <row r="336" spans="1:34" x14ac:dyDescent="0.3">
      <c r="A336" s="4" t="s">
        <v>33</v>
      </c>
      <c r="B336" s="4">
        <v>1090</v>
      </c>
      <c r="C336" s="4" t="s">
        <v>302</v>
      </c>
      <c r="D336" s="11" t="s">
        <v>447</v>
      </c>
      <c r="E336" s="6"/>
      <c r="F336" s="6" t="s">
        <v>44</v>
      </c>
      <c r="G336" s="6" t="s">
        <v>39</v>
      </c>
      <c r="H336" s="6">
        <v>74</v>
      </c>
      <c r="I336" s="6">
        <v>49.1</v>
      </c>
      <c r="J336" s="4">
        <v>1.25</v>
      </c>
      <c r="K336" s="4">
        <v>8</v>
      </c>
      <c r="L336" s="4">
        <v>8.1999999999999993</v>
      </c>
      <c r="M336" s="4" t="s">
        <v>449</v>
      </c>
      <c r="N336" s="4" t="s">
        <v>450</v>
      </c>
      <c r="O336" s="4">
        <v>9.66</v>
      </c>
      <c r="P336" s="4">
        <v>9.8000000000000007</v>
      </c>
      <c r="Q336" s="4">
        <v>13.8</v>
      </c>
      <c r="R336" s="4">
        <v>14.2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>
        <v>1376</v>
      </c>
      <c r="AF336" s="4">
        <v>50</v>
      </c>
      <c r="AG336" s="4">
        <v>76</v>
      </c>
    </row>
    <row r="337" spans="1:34" x14ac:dyDescent="0.3">
      <c r="A337" s="4" t="s">
        <v>33</v>
      </c>
      <c r="B337" s="4">
        <v>663</v>
      </c>
      <c r="C337" s="4" t="s">
        <v>43</v>
      </c>
      <c r="D337" s="5">
        <v>44438</v>
      </c>
      <c r="E337" s="6">
        <v>40</v>
      </c>
      <c r="F337" s="6" t="s">
        <v>44</v>
      </c>
      <c r="G337" s="6" t="s">
        <v>39</v>
      </c>
      <c r="H337" s="6">
        <v>68.2</v>
      </c>
      <c r="I337" s="6">
        <v>49.2</v>
      </c>
      <c r="J337" s="4">
        <v>2.1</v>
      </c>
      <c r="K337" s="4">
        <v>8.9</v>
      </c>
      <c r="L337" s="4">
        <v>8.5</v>
      </c>
      <c r="M337" s="4" t="s">
        <v>239</v>
      </c>
      <c r="N337" s="4" t="s">
        <v>240</v>
      </c>
      <c r="O337" s="4">
        <v>8.1</v>
      </c>
      <c r="P337" s="4">
        <v>7.8</v>
      </c>
      <c r="Q337" s="4">
        <v>11.2</v>
      </c>
      <c r="R337" s="4">
        <v>11.4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>
        <v>2182</v>
      </c>
      <c r="AF337" s="4">
        <v>76</v>
      </c>
      <c r="AG337" s="4">
        <v>166</v>
      </c>
      <c r="AH337" s="14" t="s">
        <v>577</v>
      </c>
    </row>
    <row r="338" spans="1:34" x14ac:dyDescent="0.3">
      <c r="A338" s="4" t="s">
        <v>33</v>
      </c>
      <c r="B338" s="4">
        <v>902</v>
      </c>
      <c r="C338" s="4" t="s">
        <v>302</v>
      </c>
      <c r="D338" s="4" t="s">
        <v>322</v>
      </c>
      <c r="E338" s="6">
        <v>40</v>
      </c>
      <c r="F338" s="6" t="s">
        <v>44</v>
      </c>
      <c r="G338" s="6" t="s">
        <v>39</v>
      </c>
      <c r="H338" s="6">
        <v>76.3</v>
      </c>
      <c r="I338" s="6">
        <v>49.2</v>
      </c>
      <c r="J338" s="4">
        <v>1.4</v>
      </c>
      <c r="K338" s="4">
        <v>7.93</v>
      </c>
      <c r="L338" s="4">
        <v>7.96</v>
      </c>
      <c r="M338" s="4" t="s">
        <v>201</v>
      </c>
      <c r="N338" s="4" t="s">
        <v>201</v>
      </c>
      <c r="O338" s="4">
        <v>7.4</v>
      </c>
      <c r="P338" s="4">
        <v>6.83</v>
      </c>
      <c r="Q338" s="4" t="s">
        <v>201</v>
      </c>
      <c r="R338" s="4" t="s">
        <v>201</v>
      </c>
      <c r="S338" s="4" t="s">
        <v>201</v>
      </c>
      <c r="T338" s="4" t="s">
        <v>201</v>
      </c>
      <c r="U338" s="4" t="s">
        <v>201</v>
      </c>
      <c r="V338" s="4" t="s">
        <v>201</v>
      </c>
      <c r="W338" s="4" t="s">
        <v>201</v>
      </c>
      <c r="X338" s="4" t="s">
        <v>201</v>
      </c>
      <c r="Y338" s="4" t="s">
        <v>201</v>
      </c>
      <c r="Z338" s="4" t="s">
        <v>201</v>
      </c>
      <c r="AA338" s="4" t="s">
        <v>201</v>
      </c>
      <c r="AB338" s="4" t="s">
        <v>201</v>
      </c>
      <c r="AC338" s="4"/>
      <c r="AD338" s="4"/>
      <c r="AE338" s="4">
        <v>1126</v>
      </c>
      <c r="AF338" s="4" t="s">
        <v>81</v>
      </c>
      <c r="AG338" s="4">
        <v>0.32</v>
      </c>
    </row>
    <row r="339" spans="1:34" x14ac:dyDescent="0.3">
      <c r="A339" s="4" t="s">
        <v>33</v>
      </c>
      <c r="B339" s="4">
        <v>849</v>
      </c>
      <c r="C339" s="4" t="s">
        <v>303</v>
      </c>
      <c r="D339" s="5">
        <v>44480</v>
      </c>
      <c r="E339" s="6">
        <v>40</v>
      </c>
      <c r="F339" s="6" t="s">
        <v>44</v>
      </c>
      <c r="G339" s="6" t="s">
        <v>39</v>
      </c>
      <c r="H339" s="6">
        <v>74.599999999999994</v>
      </c>
      <c r="I339" s="6">
        <v>49.3</v>
      </c>
      <c r="J339" s="4" t="s">
        <v>201</v>
      </c>
      <c r="K339" s="4">
        <v>5.61</v>
      </c>
      <c r="L339" s="4">
        <v>6.12</v>
      </c>
      <c r="M339" s="4">
        <v>2.76</v>
      </c>
      <c r="N339" s="4">
        <v>2.4500000000000002</v>
      </c>
      <c r="O339" s="4" t="s">
        <v>201</v>
      </c>
      <c r="P339" s="4" t="s">
        <v>201</v>
      </c>
      <c r="Q339" s="4">
        <v>8</v>
      </c>
      <c r="R339" s="4">
        <v>8.52</v>
      </c>
      <c r="S339" s="4"/>
      <c r="T339" s="4"/>
      <c r="U339" s="4"/>
      <c r="V339" s="4"/>
      <c r="W339" s="4" t="s">
        <v>201</v>
      </c>
      <c r="X339" s="4" t="s">
        <v>201</v>
      </c>
      <c r="Y339" s="4" t="s">
        <v>201</v>
      </c>
      <c r="Z339" s="4" t="s">
        <v>201</v>
      </c>
      <c r="AA339" s="4"/>
      <c r="AB339" s="4"/>
      <c r="AC339" s="4"/>
      <c r="AD339" s="4"/>
      <c r="AE339" s="4">
        <v>1106</v>
      </c>
      <c r="AF339" s="4">
        <v>60</v>
      </c>
      <c r="AG339" s="4">
        <v>14</v>
      </c>
    </row>
    <row r="340" spans="1:34" x14ac:dyDescent="0.3">
      <c r="A340" s="4" t="s">
        <v>33</v>
      </c>
      <c r="B340" s="4">
        <v>598</v>
      </c>
      <c r="C340" s="4" t="s">
        <v>43</v>
      </c>
      <c r="D340" s="5">
        <v>44361</v>
      </c>
      <c r="E340" s="6"/>
      <c r="F340" s="6" t="s">
        <v>44</v>
      </c>
      <c r="G340" s="6" t="s">
        <v>39</v>
      </c>
      <c r="H340" s="6">
        <v>70.5</v>
      </c>
      <c r="I340" s="6">
        <v>49.4</v>
      </c>
      <c r="J340" s="4">
        <v>1.44</v>
      </c>
      <c r="K340" s="4">
        <v>6.42</v>
      </c>
      <c r="L340" s="4">
        <v>7.4</v>
      </c>
      <c r="M340" s="4" t="s">
        <v>179</v>
      </c>
      <c r="N340" s="4" t="s">
        <v>180</v>
      </c>
      <c r="O340" s="4" t="s">
        <v>181</v>
      </c>
      <c r="P340" s="4" t="s">
        <v>182</v>
      </c>
      <c r="Q340" s="4">
        <v>8.44</v>
      </c>
      <c r="R340" s="4">
        <v>8.44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>
        <v>1672</v>
      </c>
      <c r="AF340" s="4">
        <v>102</v>
      </c>
      <c r="AG340" s="4">
        <v>116</v>
      </c>
      <c r="AH340" s="14" t="s">
        <v>542</v>
      </c>
    </row>
    <row r="341" spans="1:34" x14ac:dyDescent="0.3">
      <c r="A341" s="4" t="s">
        <v>33</v>
      </c>
      <c r="B341" s="4">
        <v>583</v>
      </c>
      <c r="C341" s="4" t="s">
        <v>43</v>
      </c>
      <c r="D341" s="5">
        <v>44361</v>
      </c>
      <c r="E341" s="6"/>
      <c r="F341" s="6" t="s">
        <v>44</v>
      </c>
      <c r="G341" s="6" t="s">
        <v>39</v>
      </c>
      <c r="H341" s="6">
        <v>73.599999999999994</v>
      </c>
      <c r="I341" s="6">
        <v>49.4</v>
      </c>
      <c r="J341" s="4">
        <v>1.05</v>
      </c>
      <c r="K341" s="4">
        <v>8.86</v>
      </c>
      <c r="L341" s="4">
        <v>8.3699999999999992</v>
      </c>
      <c r="M341" s="4">
        <v>5.31</v>
      </c>
      <c r="N341" s="4">
        <v>5.0999999999999996</v>
      </c>
      <c r="O341" s="4">
        <v>4.07</v>
      </c>
      <c r="P341" s="4">
        <v>4.3099999999999996</v>
      </c>
      <c r="Q341" s="4">
        <v>10.31</v>
      </c>
      <c r="R341" s="4">
        <v>9.91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>
        <v>1230</v>
      </c>
      <c r="AF341" s="4">
        <v>58</v>
      </c>
      <c r="AG341" s="4">
        <v>62</v>
      </c>
    </row>
    <row r="342" spans="1:34" x14ac:dyDescent="0.3">
      <c r="A342" s="4" t="s">
        <v>33</v>
      </c>
      <c r="B342" s="4">
        <v>853</v>
      </c>
      <c r="C342" s="4" t="s">
        <v>303</v>
      </c>
      <c r="D342" s="5">
        <v>44480</v>
      </c>
      <c r="E342" s="6">
        <v>40</v>
      </c>
      <c r="F342" s="6" t="s">
        <v>44</v>
      </c>
      <c r="G342" s="6" t="s">
        <v>39</v>
      </c>
      <c r="H342" s="6">
        <v>69.400000000000006</v>
      </c>
      <c r="I342" s="6">
        <v>49.5</v>
      </c>
      <c r="J342" s="4" t="s">
        <v>201</v>
      </c>
      <c r="K342" s="4">
        <v>6.94</v>
      </c>
      <c r="L342" s="4">
        <v>7.44</v>
      </c>
      <c r="M342" s="4" t="s">
        <v>316</v>
      </c>
      <c r="N342" s="4" t="s">
        <v>317</v>
      </c>
      <c r="O342" s="4">
        <v>7.69</v>
      </c>
      <c r="P342" s="4">
        <v>8.5</v>
      </c>
      <c r="Q342" s="4">
        <v>10.7</v>
      </c>
      <c r="R342" s="4">
        <v>10.220000000000001</v>
      </c>
      <c r="S342" s="4"/>
      <c r="T342" s="4"/>
      <c r="U342" s="4"/>
      <c r="V342" s="4"/>
      <c r="W342" s="4" t="s">
        <v>201</v>
      </c>
      <c r="X342" s="4" t="s">
        <v>201</v>
      </c>
      <c r="Y342" s="4" t="s">
        <v>201</v>
      </c>
      <c r="Z342" s="4" t="s">
        <v>201</v>
      </c>
      <c r="AA342" s="4"/>
      <c r="AB342" s="4"/>
      <c r="AC342" s="4"/>
      <c r="AD342" s="4"/>
      <c r="AE342" s="4">
        <v>1288</v>
      </c>
      <c r="AF342" s="4">
        <v>52</v>
      </c>
      <c r="AG342" s="4">
        <v>76</v>
      </c>
    </row>
    <row r="343" spans="1:34" x14ac:dyDescent="0.3">
      <c r="A343" s="4" t="s">
        <v>33</v>
      </c>
      <c r="B343" s="4">
        <v>581</v>
      </c>
      <c r="C343" s="4" t="s">
        <v>43</v>
      </c>
      <c r="D343" s="5">
        <v>44361</v>
      </c>
      <c r="E343" s="6"/>
      <c r="F343" s="6" t="s">
        <v>44</v>
      </c>
      <c r="G343" s="6" t="s">
        <v>39</v>
      </c>
      <c r="H343" s="6">
        <v>73.400000000000006</v>
      </c>
      <c r="I343" s="6">
        <v>49.5</v>
      </c>
      <c r="J343" s="4">
        <v>2.0499999999999998</v>
      </c>
      <c r="K343" s="4">
        <v>8.2200000000000006</v>
      </c>
      <c r="L343" s="4">
        <v>8.2200000000000006</v>
      </c>
      <c r="M343" s="4" t="s">
        <v>155</v>
      </c>
      <c r="N343" s="4" t="s">
        <v>156</v>
      </c>
      <c r="O343" s="4" t="s">
        <v>157</v>
      </c>
      <c r="P343" s="4" t="s">
        <v>157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>
        <v>2042</v>
      </c>
      <c r="AF343" s="4">
        <v>82</v>
      </c>
      <c r="AG343" s="4">
        <v>148</v>
      </c>
    </row>
    <row r="344" spans="1:34" x14ac:dyDescent="0.3">
      <c r="A344" s="4" t="s">
        <v>33</v>
      </c>
      <c r="B344" s="4">
        <v>546</v>
      </c>
      <c r="C344" s="4" t="s">
        <v>43</v>
      </c>
      <c r="D344" s="5">
        <v>44336</v>
      </c>
      <c r="E344" s="6"/>
      <c r="F344" s="6" t="s">
        <v>44</v>
      </c>
      <c r="G344" s="6" t="s">
        <v>39</v>
      </c>
      <c r="H344" s="6">
        <v>60.1</v>
      </c>
      <c r="I344" s="6">
        <v>49.6</v>
      </c>
      <c r="J344" s="4"/>
      <c r="K344" s="4">
        <v>1.5</v>
      </c>
      <c r="L344" s="4">
        <v>1.77</v>
      </c>
      <c r="M344" s="4" t="s">
        <v>141</v>
      </c>
      <c r="N344" s="4" t="s">
        <v>142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>
        <v>424</v>
      </c>
      <c r="AF344" s="4">
        <v>26</v>
      </c>
      <c r="AG344" s="4">
        <v>2</v>
      </c>
    </row>
    <row r="345" spans="1:34" x14ac:dyDescent="0.3">
      <c r="A345" s="4" t="s">
        <v>33</v>
      </c>
      <c r="B345" s="4">
        <v>997</v>
      </c>
      <c r="C345" s="4" t="s">
        <v>302</v>
      </c>
      <c r="D345" s="4" t="s">
        <v>325</v>
      </c>
      <c r="E345" s="6">
        <v>40</v>
      </c>
      <c r="F345" s="6" t="s">
        <v>44</v>
      </c>
      <c r="G345" s="6" t="s">
        <v>39</v>
      </c>
      <c r="H345" s="6">
        <v>72.099999999999994</v>
      </c>
      <c r="I345" s="6">
        <v>49.7</v>
      </c>
      <c r="J345" s="4">
        <v>0.77</v>
      </c>
      <c r="K345" s="4">
        <v>3.25</v>
      </c>
      <c r="L345" s="4">
        <v>2.69</v>
      </c>
      <c r="M345" s="4" t="s">
        <v>201</v>
      </c>
      <c r="N345" s="4" t="s">
        <v>201</v>
      </c>
      <c r="O345" s="4" t="s">
        <v>201</v>
      </c>
      <c r="P345" s="4" t="s">
        <v>201</v>
      </c>
      <c r="Q345" s="4" t="s">
        <v>201</v>
      </c>
      <c r="R345" s="4" t="s">
        <v>201</v>
      </c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>
        <v>836</v>
      </c>
      <c r="AF345" s="4">
        <v>46</v>
      </c>
      <c r="AG345" s="4">
        <v>4</v>
      </c>
    </row>
    <row r="346" spans="1:34" x14ac:dyDescent="0.3">
      <c r="A346" s="4" t="s">
        <v>33</v>
      </c>
      <c r="B346" s="4">
        <v>645</v>
      </c>
      <c r="C346" s="4" t="s">
        <v>36</v>
      </c>
      <c r="D346" s="5" t="s">
        <v>204</v>
      </c>
      <c r="E346" s="6">
        <v>20</v>
      </c>
      <c r="F346" s="6" t="s">
        <v>44</v>
      </c>
      <c r="G346" s="6" t="s">
        <v>39</v>
      </c>
      <c r="H346" s="6">
        <v>59.7</v>
      </c>
      <c r="I346" s="6">
        <v>49.8</v>
      </c>
      <c r="J346" s="4">
        <v>2.0299999999999998</v>
      </c>
      <c r="K346" s="4">
        <v>8.75</v>
      </c>
      <c r="L346" s="4">
        <v>8.4600000000000009</v>
      </c>
      <c r="M346" s="4" t="s">
        <v>209</v>
      </c>
      <c r="N346" s="4" t="s">
        <v>210</v>
      </c>
      <c r="O346" s="4">
        <v>6.69</v>
      </c>
      <c r="P346" s="4">
        <v>6.66</v>
      </c>
      <c r="Q346" s="4">
        <v>8.85</v>
      </c>
      <c r="R346" s="4">
        <v>8.4700000000000006</v>
      </c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>
        <v>1.54</v>
      </c>
      <c r="AF346" s="4">
        <v>8.2000000000000003E-2</v>
      </c>
      <c r="AG346" s="4">
        <v>9.4E-2</v>
      </c>
      <c r="AH346" s="4" t="s">
        <v>577</v>
      </c>
    </row>
    <row r="347" spans="1:34" x14ac:dyDescent="0.3">
      <c r="A347" s="4" t="s">
        <v>33</v>
      </c>
      <c r="B347" s="4">
        <v>416</v>
      </c>
      <c r="C347" s="4" t="s">
        <v>43</v>
      </c>
      <c r="D347" s="5">
        <v>44256</v>
      </c>
      <c r="E347" s="6">
        <v>21.9</v>
      </c>
      <c r="F347" s="6" t="s">
        <v>44</v>
      </c>
      <c r="G347" s="6" t="s">
        <v>40</v>
      </c>
      <c r="H347" s="6">
        <v>57</v>
      </c>
      <c r="I347" s="6">
        <v>49.9</v>
      </c>
      <c r="J347" s="4">
        <v>2.2000000000000002</v>
      </c>
      <c r="K347" s="4">
        <v>8.1</v>
      </c>
      <c r="L347" s="4">
        <v>8.1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>
        <v>1606</v>
      </c>
      <c r="AF347" s="4">
        <v>90</v>
      </c>
      <c r="AG347" s="4">
        <v>10</v>
      </c>
      <c r="AH347" s="14" t="s">
        <v>517</v>
      </c>
    </row>
    <row r="348" spans="1:34" x14ac:dyDescent="0.3">
      <c r="A348" s="4" t="s">
        <v>33</v>
      </c>
      <c r="B348" s="4">
        <v>1038</v>
      </c>
      <c r="C348" s="4" t="s">
        <v>302</v>
      </c>
      <c r="D348" s="4" t="s">
        <v>325</v>
      </c>
      <c r="E348" s="6">
        <v>40</v>
      </c>
      <c r="F348" s="6" t="s">
        <v>44</v>
      </c>
      <c r="G348" s="6" t="s">
        <v>39</v>
      </c>
      <c r="H348" s="6">
        <v>72</v>
      </c>
      <c r="I348" s="6">
        <v>49.9</v>
      </c>
      <c r="J348" s="4">
        <v>1.86</v>
      </c>
      <c r="K348" s="4">
        <v>7.7</v>
      </c>
      <c r="L348" s="4">
        <v>7.3</v>
      </c>
      <c r="M348" s="4" t="s">
        <v>406</v>
      </c>
      <c r="N348" s="4" t="s">
        <v>407</v>
      </c>
      <c r="O348" s="4">
        <v>9.6</v>
      </c>
      <c r="P348" s="4">
        <v>9.8800000000000008</v>
      </c>
      <c r="Q348" s="4">
        <v>3.7</v>
      </c>
      <c r="R348" s="4">
        <v>3.6</v>
      </c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>
        <v>1474</v>
      </c>
      <c r="AF348" s="4">
        <v>70</v>
      </c>
      <c r="AG348" s="4">
        <v>108</v>
      </c>
    </row>
    <row r="349" spans="1:34" x14ac:dyDescent="0.3">
      <c r="A349" s="4" t="s">
        <v>33</v>
      </c>
      <c r="B349" s="4">
        <v>637</v>
      </c>
      <c r="C349" s="4" t="s">
        <v>43</v>
      </c>
      <c r="D349" s="5">
        <v>44403</v>
      </c>
      <c r="E349" s="6">
        <v>21.9</v>
      </c>
      <c r="F349" s="6" t="s">
        <v>44</v>
      </c>
      <c r="G349" s="6" t="s">
        <v>40</v>
      </c>
      <c r="H349" s="6">
        <v>70.400000000000006</v>
      </c>
      <c r="I349" s="6">
        <v>50</v>
      </c>
      <c r="J349" s="4">
        <v>1.9</v>
      </c>
      <c r="K349" s="4">
        <v>8.1</v>
      </c>
      <c r="L349" s="4">
        <v>7.3</v>
      </c>
      <c r="M349" s="4">
        <v>6.33</v>
      </c>
      <c r="N349" s="4">
        <v>6.38</v>
      </c>
      <c r="O349" s="4">
        <v>7.39</v>
      </c>
      <c r="P349" s="4">
        <v>7.87</v>
      </c>
      <c r="Q349" s="4">
        <v>10.5</v>
      </c>
      <c r="R349" s="4">
        <v>9.1999999999999993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>
        <v>1.8839999999999999</v>
      </c>
      <c r="AF349" s="4">
        <v>6.6000000000000003E-2</v>
      </c>
      <c r="AG349" s="4">
        <v>0.13600000000000001</v>
      </c>
    </row>
    <row r="350" spans="1:34" x14ac:dyDescent="0.3">
      <c r="A350" s="4" t="s">
        <v>33</v>
      </c>
      <c r="B350" s="4">
        <v>1114</v>
      </c>
      <c r="C350" s="4" t="s">
        <v>302</v>
      </c>
      <c r="D350" s="11" t="s">
        <v>447</v>
      </c>
      <c r="E350" s="6" t="s">
        <v>457</v>
      </c>
      <c r="F350" s="6" t="s">
        <v>44</v>
      </c>
      <c r="G350" s="6" t="s">
        <v>39</v>
      </c>
      <c r="H350" s="6">
        <v>70.2</v>
      </c>
      <c r="I350" s="6">
        <v>50.1</v>
      </c>
      <c r="J350" s="4">
        <v>1.89</v>
      </c>
      <c r="K350" s="4">
        <v>7.77</v>
      </c>
      <c r="L350" s="4">
        <v>7.84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>
        <v>1258</v>
      </c>
      <c r="AF350" s="4"/>
      <c r="AG350" s="4"/>
    </row>
    <row r="351" spans="1:34" x14ac:dyDescent="0.3">
      <c r="A351" s="4" t="s">
        <v>33</v>
      </c>
      <c r="B351" s="4">
        <v>623</v>
      </c>
      <c r="C351" s="4" t="s">
        <v>43</v>
      </c>
      <c r="D351" s="5">
        <v>44403</v>
      </c>
      <c r="E351" s="6">
        <v>40</v>
      </c>
      <c r="F351" s="6" t="s">
        <v>44</v>
      </c>
      <c r="G351" s="6" t="s">
        <v>39</v>
      </c>
      <c r="H351" s="6">
        <v>70.7</v>
      </c>
      <c r="I351" s="6">
        <v>50.1</v>
      </c>
      <c r="J351" s="4"/>
      <c r="K351" s="4">
        <v>2.9</v>
      </c>
      <c r="L351" s="4">
        <v>2.62</v>
      </c>
      <c r="M351" s="4">
        <v>1.61</v>
      </c>
      <c r="N351" s="4">
        <v>1.6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>
        <v>1020</v>
      </c>
      <c r="AF351" s="4"/>
      <c r="AG351" s="4">
        <v>8</v>
      </c>
    </row>
    <row r="352" spans="1:34" x14ac:dyDescent="0.3">
      <c r="A352" s="4" t="s">
        <v>33</v>
      </c>
      <c r="B352" s="4">
        <v>589</v>
      </c>
      <c r="C352" s="4" t="s">
        <v>43</v>
      </c>
      <c r="D352" s="5">
        <v>44361</v>
      </c>
      <c r="E352" s="6"/>
      <c r="F352" s="6" t="s">
        <v>44</v>
      </c>
      <c r="G352" s="6" t="s">
        <v>39</v>
      </c>
      <c r="H352" s="6">
        <v>72.900000000000006</v>
      </c>
      <c r="I352" s="6">
        <v>50.1</v>
      </c>
      <c r="J352" s="4"/>
      <c r="K352" s="4">
        <v>1.9</v>
      </c>
      <c r="L352" s="4">
        <v>1.8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>
        <v>718</v>
      </c>
      <c r="AF352" s="4">
        <v>36</v>
      </c>
      <c r="AG352" s="4">
        <v>2</v>
      </c>
      <c r="AH352" s="14" t="s">
        <v>517</v>
      </c>
    </row>
    <row r="353" spans="1:34" ht="12.5" customHeight="1" x14ac:dyDescent="0.3">
      <c r="A353" s="4" t="s">
        <v>33</v>
      </c>
      <c r="B353" s="4">
        <v>1023</v>
      </c>
      <c r="C353" s="4" t="s">
        <v>302</v>
      </c>
      <c r="D353" s="4" t="s">
        <v>325</v>
      </c>
      <c r="E353" s="6">
        <v>40</v>
      </c>
      <c r="F353" s="6" t="s">
        <v>44</v>
      </c>
      <c r="G353" s="6" t="s">
        <v>39</v>
      </c>
      <c r="H353" s="6">
        <v>61.5</v>
      </c>
      <c r="I353" s="6">
        <v>50.2</v>
      </c>
      <c r="J353" s="4">
        <v>1.34</v>
      </c>
      <c r="K353" s="4">
        <v>8.59</v>
      </c>
      <c r="L353" s="4">
        <v>7.7</v>
      </c>
      <c r="M353" s="4" t="s">
        <v>388</v>
      </c>
      <c r="N353" s="4" t="s">
        <v>389</v>
      </c>
      <c r="O353" s="4">
        <v>9.0500000000000007</v>
      </c>
      <c r="P353" s="4">
        <v>8.82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>
        <v>1264</v>
      </c>
      <c r="AF353" s="4">
        <v>54</v>
      </c>
      <c r="AG353" s="4">
        <v>92</v>
      </c>
    </row>
    <row r="354" spans="1:34" x14ac:dyDescent="0.3">
      <c r="A354" s="4" t="s">
        <v>33</v>
      </c>
      <c r="B354" s="4">
        <v>1110</v>
      </c>
      <c r="C354" s="4" t="s">
        <v>302</v>
      </c>
      <c r="D354" s="11" t="s">
        <v>447</v>
      </c>
      <c r="E354" s="13">
        <v>45268</v>
      </c>
      <c r="F354" s="6" t="s">
        <v>44</v>
      </c>
      <c r="G354" s="6" t="s">
        <v>39</v>
      </c>
      <c r="H354" s="6">
        <v>72.7</v>
      </c>
      <c r="I354" s="6">
        <v>50.2</v>
      </c>
      <c r="J354" s="4">
        <v>2.16</v>
      </c>
      <c r="K354" s="4">
        <v>8.44</v>
      </c>
      <c r="L354" s="4">
        <v>8.67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>
        <v>2708</v>
      </c>
      <c r="AF354" s="4"/>
      <c r="AG354" s="4">
        <v>92</v>
      </c>
    </row>
    <row r="355" spans="1:34" x14ac:dyDescent="0.3">
      <c r="A355" s="4" t="s">
        <v>33</v>
      </c>
      <c r="B355" s="4">
        <v>1104</v>
      </c>
      <c r="C355" s="4" t="s">
        <v>302</v>
      </c>
      <c r="D355" s="11" t="s">
        <v>447</v>
      </c>
      <c r="E355" s="13">
        <v>45207</v>
      </c>
      <c r="F355" s="6" t="s">
        <v>44</v>
      </c>
      <c r="G355" s="6" t="s">
        <v>39</v>
      </c>
      <c r="H355" s="6">
        <v>73.3</v>
      </c>
      <c r="I355" s="6">
        <v>50.2</v>
      </c>
      <c r="J355" s="4">
        <v>2</v>
      </c>
      <c r="K355" s="4">
        <v>7.62</v>
      </c>
      <c r="L355" s="4">
        <v>7.18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>
        <v>38</v>
      </c>
      <c r="AG355" s="4">
        <v>84</v>
      </c>
    </row>
    <row r="356" spans="1:34" x14ac:dyDescent="0.3">
      <c r="A356" s="4" t="s">
        <v>33</v>
      </c>
      <c r="B356" s="4">
        <v>629</v>
      </c>
      <c r="C356" s="4" t="s">
        <v>43</v>
      </c>
      <c r="D356" s="5">
        <v>44403</v>
      </c>
      <c r="E356" s="6">
        <v>40</v>
      </c>
      <c r="F356" s="6" t="s">
        <v>44</v>
      </c>
      <c r="G356" s="6" t="s">
        <v>39</v>
      </c>
      <c r="H356" s="6">
        <v>73.900000000000006</v>
      </c>
      <c r="I356" s="6">
        <v>50.2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>
        <v>836</v>
      </c>
      <c r="AF356" s="4">
        <v>60</v>
      </c>
      <c r="AG356" s="4">
        <v>6</v>
      </c>
      <c r="AH356" s="14" t="s">
        <v>573</v>
      </c>
    </row>
    <row r="357" spans="1:34" x14ac:dyDescent="0.3">
      <c r="A357" s="4" t="s">
        <v>33</v>
      </c>
      <c r="B357" s="4">
        <v>643</v>
      </c>
      <c r="C357" s="4" t="s">
        <v>36</v>
      </c>
      <c r="D357" s="5" t="s">
        <v>204</v>
      </c>
      <c r="E357" s="6">
        <v>40</v>
      </c>
      <c r="F357" s="6" t="s">
        <v>44</v>
      </c>
      <c r="G357" s="6" t="s">
        <v>39</v>
      </c>
      <c r="H357" s="6">
        <v>74.900000000000006</v>
      </c>
      <c r="I357" s="6">
        <v>50.4</v>
      </c>
      <c r="J357" s="4">
        <v>1.91</v>
      </c>
      <c r="K357" s="4">
        <v>8.33</v>
      </c>
      <c r="L357" s="4">
        <v>8.6</v>
      </c>
      <c r="M357" s="4" t="s">
        <v>205</v>
      </c>
      <c r="N357" s="4" t="s">
        <v>206</v>
      </c>
      <c r="O357" s="4" t="s">
        <v>207</v>
      </c>
      <c r="P357" s="4" t="s">
        <v>208</v>
      </c>
      <c r="Q357" s="4">
        <v>10.34</v>
      </c>
      <c r="R357" s="4">
        <v>10.72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>
        <v>1.8440000000000001</v>
      </c>
      <c r="AF357" s="4">
        <v>72</v>
      </c>
      <c r="AG357" s="4">
        <v>118</v>
      </c>
      <c r="AH357" s="4" t="s">
        <v>577</v>
      </c>
    </row>
    <row r="358" spans="1:34" x14ac:dyDescent="0.3">
      <c r="A358" s="4" t="s">
        <v>33</v>
      </c>
      <c r="B358" s="4">
        <v>1047</v>
      </c>
      <c r="C358" s="4" t="s">
        <v>302</v>
      </c>
      <c r="D358" s="4" t="s">
        <v>325</v>
      </c>
      <c r="E358" s="6">
        <v>40</v>
      </c>
      <c r="F358" s="6" t="s">
        <v>44</v>
      </c>
      <c r="G358" s="6" t="s">
        <v>39</v>
      </c>
      <c r="H358" s="6">
        <v>77</v>
      </c>
      <c r="I358" s="6">
        <v>50.4</v>
      </c>
      <c r="J358" s="4">
        <v>1.78</v>
      </c>
      <c r="K358" s="4">
        <v>7.25</v>
      </c>
      <c r="L358" s="4">
        <v>7.96</v>
      </c>
      <c r="M358" s="4" t="s">
        <v>201</v>
      </c>
      <c r="N358" s="4" t="s">
        <v>201</v>
      </c>
      <c r="O358" s="4" t="s">
        <v>201</v>
      </c>
      <c r="P358" s="4" t="s">
        <v>201</v>
      </c>
      <c r="Q358" s="4" t="s">
        <v>201</v>
      </c>
      <c r="R358" s="4" t="s">
        <v>201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>
        <v>1398</v>
      </c>
      <c r="AF358" s="4">
        <v>42</v>
      </c>
      <c r="AG358" s="4">
        <v>78</v>
      </c>
    </row>
    <row r="359" spans="1:34" x14ac:dyDescent="0.3">
      <c r="A359" s="4" t="s">
        <v>33</v>
      </c>
      <c r="B359" s="4">
        <v>545</v>
      </c>
      <c r="C359" s="4" t="s">
        <v>43</v>
      </c>
      <c r="D359" s="5">
        <v>44336</v>
      </c>
      <c r="E359" s="6"/>
      <c r="F359" s="6" t="s">
        <v>44</v>
      </c>
      <c r="G359" s="6" t="s">
        <v>39</v>
      </c>
      <c r="H359" s="6">
        <v>68.8</v>
      </c>
      <c r="I359" s="6">
        <v>50.5</v>
      </c>
      <c r="J359" s="4">
        <v>2.41</v>
      </c>
      <c r="K359" s="4">
        <v>8.42</v>
      </c>
      <c r="L359" s="4">
        <v>8.65</v>
      </c>
      <c r="M359" s="4" t="s">
        <v>138</v>
      </c>
      <c r="N359" s="4" t="s">
        <v>139</v>
      </c>
      <c r="O359" s="4">
        <v>7.19</v>
      </c>
      <c r="P359" s="4">
        <v>7.3</v>
      </c>
      <c r="Q359" s="4">
        <v>10.3</v>
      </c>
      <c r="R359" s="4">
        <v>10</v>
      </c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>
        <v>1720</v>
      </c>
      <c r="AF359" s="4">
        <v>102</v>
      </c>
      <c r="AG359" s="4">
        <v>80</v>
      </c>
      <c r="AH359" s="14" t="s">
        <v>568</v>
      </c>
    </row>
    <row r="360" spans="1:34" x14ac:dyDescent="0.3">
      <c r="A360" s="4" t="s">
        <v>33</v>
      </c>
      <c r="B360" s="4">
        <v>1037</v>
      </c>
      <c r="C360" s="4" t="s">
        <v>302</v>
      </c>
      <c r="D360" s="4" t="s">
        <v>325</v>
      </c>
      <c r="E360" s="6">
        <v>40</v>
      </c>
      <c r="F360" s="6" t="s">
        <v>44</v>
      </c>
      <c r="G360" s="6" t="s">
        <v>39</v>
      </c>
      <c r="H360" s="6">
        <v>71.3</v>
      </c>
      <c r="I360" s="6">
        <v>50.5</v>
      </c>
      <c r="J360" s="4">
        <v>2.31</v>
      </c>
      <c r="K360" s="4">
        <v>8.16</v>
      </c>
      <c r="L360" s="4">
        <v>8.56</v>
      </c>
      <c r="M360" s="4" t="s">
        <v>404</v>
      </c>
      <c r="N360" s="4" t="s">
        <v>405</v>
      </c>
      <c r="O360" s="4">
        <v>9.4700000000000006</v>
      </c>
      <c r="P360" s="4">
        <v>9.16</v>
      </c>
      <c r="Q360" s="4">
        <v>10.26</v>
      </c>
      <c r="R360" s="4">
        <v>11.21</v>
      </c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>
        <v>1398</v>
      </c>
      <c r="AF360" s="4">
        <v>46</v>
      </c>
      <c r="AG360" s="4">
        <v>102</v>
      </c>
    </row>
    <row r="361" spans="1:34" x14ac:dyDescent="0.3">
      <c r="A361" s="4" t="s">
        <v>33</v>
      </c>
      <c r="B361" s="4">
        <v>846</v>
      </c>
      <c r="C361" s="4" t="s">
        <v>303</v>
      </c>
      <c r="D361" s="5">
        <v>44480</v>
      </c>
      <c r="E361" s="6">
        <v>40</v>
      </c>
      <c r="F361" s="6" t="s">
        <v>44</v>
      </c>
      <c r="G361" s="6" t="s">
        <v>39</v>
      </c>
      <c r="H361" s="6">
        <v>74.8</v>
      </c>
      <c r="I361" s="6">
        <v>50.5</v>
      </c>
      <c r="J361" s="4">
        <v>1.92</v>
      </c>
      <c r="K361" s="4">
        <v>6.85</v>
      </c>
      <c r="L361" s="4">
        <v>7.11</v>
      </c>
      <c r="M361" s="4" t="s">
        <v>310</v>
      </c>
      <c r="N361" s="4" t="s">
        <v>311</v>
      </c>
      <c r="O361" s="4">
        <v>9.06</v>
      </c>
      <c r="P361" s="4">
        <v>8.81</v>
      </c>
      <c r="Q361" s="4">
        <v>9.44</v>
      </c>
      <c r="R361" s="4">
        <v>9.73</v>
      </c>
      <c r="S361" s="4"/>
      <c r="T361" s="4"/>
      <c r="U361" s="4"/>
      <c r="V361" s="4"/>
      <c r="W361" s="4" t="s">
        <v>201</v>
      </c>
      <c r="X361" s="4" t="s">
        <v>201</v>
      </c>
      <c r="Y361" s="4" t="s">
        <v>201</v>
      </c>
      <c r="Z361" s="4" t="s">
        <v>201</v>
      </c>
      <c r="AA361" s="4"/>
      <c r="AB361" s="4"/>
      <c r="AC361" s="4"/>
      <c r="AD361" s="4"/>
      <c r="AE361" s="4">
        <v>1804</v>
      </c>
      <c r="AF361" s="4">
        <v>66</v>
      </c>
      <c r="AG361" s="4">
        <v>128</v>
      </c>
    </row>
    <row r="362" spans="1:34" x14ac:dyDescent="0.3">
      <c r="A362" s="4" t="s">
        <v>33</v>
      </c>
      <c r="B362" s="4">
        <v>632</v>
      </c>
      <c r="C362" s="4" t="s">
        <v>43</v>
      </c>
      <c r="D362" s="5">
        <v>44403</v>
      </c>
      <c r="E362" s="6">
        <v>40</v>
      </c>
      <c r="F362" s="6" t="s">
        <v>44</v>
      </c>
      <c r="G362" s="6" t="s">
        <v>39</v>
      </c>
      <c r="H362" s="6">
        <v>71</v>
      </c>
      <c r="I362" s="6">
        <v>50.7</v>
      </c>
      <c r="J362" s="4">
        <v>2.06</v>
      </c>
      <c r="K362" s="4">
        <v>8.57</v>
      </c>
      <c r="L362" s="4">
        <v>8.64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 t="s">
        <v>201</v>
      </c>
      <c r="AF362" s="4" t="s">
        <v>201</v>
      </c>
      <c r="AG362" s="4" t="s">
        <v>201</v>
      </c>
    </row>
    <row r="363" spans="1:34" x14ac:dyDescent="0.3">
      <c r="A363" s="4" t="s">
        <v>33</v>
      </c>
      <c r="B363" s="4">
        <v>192</v>
      </c>
      <c r="C363" s="4" t="s">
        <v>41</v>
      </c>
      <c r="D363" s="5" t="s">
        <v>42</v>
      </c>
      <c r="E363" s="6">
        <v>15</v>
      </c>
      <c r="F363" s="6" t="s">
        <v>44</v>
      </c>
      <c r="G363" s="6" t="s">
        <v>39</v>
      </c>
      <c r="H363" s="6">
        <v>77.3</v>
      </c>
      <c r="I363" s="6">
        <v>51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>
        <v>2138</v>
      </c>
      <c r="AF363" s="4">
        <v>76</v>
      </c>
      <c r="AG363" s="4">
        <v>138</v>
      </c>
      <c r="AH363" s="14" t="s">
        <v>516</v>
      </c>
    </row>
    <row r="364" spans="1:34" x14ac:dyDescent="0.3">
      <c r="A364" s="4" t="s">
        <v>33</v>
      </c>
      <c r="B364" s="4">
        <v>491</v>
      </c>
      <c r="C364" s="4" t="s">
        <v>43</v>
      </c>
      <c r="D364" s="5">
        <v>44336</v>
      </c>
      <c r="E364" s="6"/>
      <c r="F364" s="6" t="s">
        <v>44</v>
      </c>
      <c r="G364" s="6" t="s">
        <v>39</v>
      </c>
      <c r="H364" s="6">
        <v>71.900000000000006</v>
      </c>
      <c r="I364" s="6">
        <v>51.2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>
        <v>334</v>
      </c>
      <c r="AF364" s="4">
        <v>22</v>
      </c>
      <c r="AG364" s="4">
        <v>4</v>
      </c>
      <c r="AH364" s="14" t="s">
        <v>517</v>
      </c>
    </row>
    <row r="365" spans="1:34" x14ac:dyDescent="0.3">
      <c r="A365" s="4" t="s">
        <v>33</v>
      </c>
      <c r="B365" s="4">
        <v>843</v>
      </c>
      <c r="C365" s="4" t="s">
        <v>303</v>
      </c>
      <c r="D365" s="5">
        <v>44480</v>
      </c>
      <c r="E365" s="6">
        <v>40</v>
      </c>
      <c r="F365" s="6" t="s">
        <v>44</v>
      </c>
      <c r="G365" s="6" t="s">
        <v>39</v>
      </c>
      <c r="H365" s="6">
        <v>76.099999999999994</v>
      </c>
      <c r="I365" s="6">
        <v>51.3</v>
      </c>
      <c r="J365" s="4">
        <v>2</v>
      </c>
      <c r="K365" s="4">
        <v>8.6999999999999993</v>
      </c>
      <c r="L365" s="4">
        <v>9.2200000000000006</v>
      </c>
      <c r="M365" s="4" t="s">
        <v>201</v>
      </c>
      <c r="N365" s="4" t="s">
        <v>201</v>
      </c>
      <c r="O365" s="4" t="s">
        <v>201</v>
      </c>
      <c r="P365" s="4" t="s">
        <v>201</v>
      </c>
      <c r="Q365" s="4" t="s">
        <v>201</v>
      </c>
      <c r="R365" s="4" t="s">
        <v>201</v>
      </c>
      <c r="S365" s="4"/>
      <c r="T365" s="4"/>
      <c r="U365" s="4"/>
      <c r="V365" s="4"/>
      <c r="W365" s="4" t="s">
        <v>201</v>
      </c>
      <c r="X365" s="4" t="s">
        <v>201</v>
      </c>
      <c r="Y365" s="4" t="s">
        <v>201</v>
      </c>
      <c r="Z365" s="4" t="s">
        <v>201</v>
      </c>
      <c r="AA365" s="4"/>
      <c r="AB365" s="4"/>
      <c r="AC365" s="4"/>
      <c r="AD365" s="4"/>
      <c r="AE365" s="4">
        <v>1350</v>
      </c>
      <c r="AF365" s="4" t="s">
        <v>201</v>
      </c>
      <c r="AG365" s="4" t="s">
        <v>307</v>
      </c>
    </row>
    <row r="366" spans="1:34" x14ac:dyDescent="0.3">
      <c r="A366" s="4" t="s">
        <v>33</v>
      </c>
      <c r="B366" s="4">
        <v>388</v>
      </c>
      <c r="C366" s="4" t="s">
        <v>43</v>
      </c>
      <c r="D366" s="5">
        <v>44256</v>
      </c>
      <c r="E366" s="6">
        <v>21.9</v>
      </c>
      <c r="F366" s="6" t="s">
        <v>44</v>
      </c>
      <c r="G366" s="6" t="s">
        <v>39</v>
      </c>
      <c r="H366" s="6">
        <v>76.8</v>
      </c>
      <c r="I366" s="6">
        <v>51.3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>
        <v>1556</v>
      </c>
      <c r="AF366" s="4">
        <v>86</v>
      </c>
      <c r="AG366" s="4">
        <v>68</v>
      </c>
      <c r="AH366" s="14" t="s">
        <v>517</v>
      </c>
    </row>
    <row r="367" spans="1:34" x14ac:dyDescent="0.3">
      <c r="A367" s="4" t="s">
        <v>33</v>
      </c>
      <c r="B367" s="4">
        <v>1149</v>
      </c>
      <c r="C367" s="4" t="s">
        <v>88</v>
      </c>
      <c r="D367" s="11"/>
      <c r="E367" s="6">
        <v>40</v>
      </c>
      <c r="F367" s="6" t="s">
        <v>44</v>
      </c>
      <c r="G367" s="6" t="s">
        <v>40</v>
      </c>
      <c r="H367" s="6">
        <v>73.400000000000006</v>
      </c>
      <c r="I367" s="6">
        <v>51.4</v>
      </c>
      <c r="J367" s="4"/>
      <c r="K367" s="4">
        <v>8</v>
      </c>
      <c r="L367" s="4">
        <v>7.4</v>
      </c>
      <c r="M367" s="4" t="s">
        <v>490</v>
      </c>
      <c r="N367" s="4" t="s">
        <v>491</v>
      </c>
      <c r="O367" s="4"/>
      <c r="P367" s="4"/>
      <c r="Q367" s="4">
        <v>9.31</v>
      </c>
      <c r="R367" s="4">
        <v>7.14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>
        <v>962</v>
      </c>
      <c r="AF367" s="4">
        <v>64</v>
      </c>
      <c r="AG367" s="4">
        <v>26</v>
      </c>
    </row>
    <row r="368" spans="1:34" x14ac:dyDescent="0.3">
      <c r="A368" s="4" t="s">
        <v>33</v>
      </c>
      <c r="B368" s="4">
        <v>644</v>
      </c>
      <c r="C368" s="4" t="s">
        <v>36</v>
      </c>
      <c r="D368" s="5" t="s">
        <v>204</v>
      </c>
      <c r="E368" s="6">
        <v>40</v>
      </c>
      <c r="F368" s="6" t="s">
        <v>44</v>
      </c>
      <c r="G368" s="6" t="s">
        <v>39</v>
      </c>
      <c r="H368" s="6">
        <v>76</v>
      </c>
      <c r="I368" s="6">
        <v>51.5</v>
      </c>
      <c r="J368" s="4">
        <v>1.7</v>
      </c>
      <c r="K368" s="4">
        <v>7.2</v>
      </c>
      <c r="L368" s="4">
        <v>6.9</v>
      </c>
      <c r="M368" s="4">
        <v>6.7</v>
      </c>
      <c r="N368" s="4">
        <v>6.4</v>
      </c>
      <c r="O368" s="4">
        <v>8.3000000000000007</v>
      </c>
      <c r="P368" s="4">
        <v>8.1</v>
      </c>
      <c r="Q368" s="4">
        <v>10.4</v>
      </c>
      <c r="R368" s="4">
        <v>10.199999999999999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>
        <v>1.8859999999999999</v>
      </c>
      <c r="AF368" s="4">
        <v>8.2000000000000003E-2</v>
      </c>
      <c r="AG368" s="4">
        <v>0.13800000000000001</v>
      </c>
      <c r="AH368" s="4" t="s">
        <v>524</v>
      </c>
    </row>
    <row r="369" spans="1:34" x14ac:dyDescent="0.3">
      <c r="A369" s="4" t="s">
        <v>33</v>
      </c>
      <c r="B369" s="4">
        <v>594</v>
      </c>
      <c r="C369" s="4" t="s">
        <v>43</v>
      </c>
      <c r="D369" s="5">
        <v>44361</v>
      </c>
      <c r="E369" s="6"/>
      <c r="F369" s="6" t="s">
        <v>44</v>
      </c>
      <c r="G369" s="6" t="s">
        <v>39</v>
      </c>
      <c r="H369" s="6">
        <v>78.599999999999994</v>
      </c>
      <c r="I369" s="6">
        <v>51.7</v>
      </c>
      <c r="J369" s="4"/>
      <c r="K369" s="4">
        <v>1.63</v>
      </c>
      <c r="L369" s="4">
        <v>2.0699999999999998</v>
      </c>
      <c r="M369" s="4" t="s">
        <v>177</v>
      </c>
      <c r="N369" s="4" t="s">
        <v>178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>
        <v>486</v>
      </c>
      <c r="AF369" s="4">
        <v>26</v>
      </c>
      <c r="AG369" s="4">
        <v>2</v>
      </c>
    </row>
    <row r="370" spans="1:34" x14ac:dyDescent="0.3">
      <c r="A370" s="4" t="s">
        <v>33</v>
      </c>
      <c r="B370" s="4">
        <v>615</v>
      </c>
      <c r="C370" s="4" t="s">
        <v>43</v>
      </c>
      <c r="D370" s="5">
        <v>44403</v>
      </c>
      <c r="E370" s="6">
        <v>40</v>
      </c>
      <c r="F370" s="6" t="s">
        <v>44</v>
      </c>
      <c r="G370" s="6" t="s">
        <v>39</v>
      </c>
      <c r="H370" s="6">
        <v>80.3</v>
      </c>
      <c r="I370" s="6">
        <v>51.7</v>
      </c>
      <c r="J370" s="4"/>
      <c r="K370" s="4">
        <v>3.12</v>
      </c>
      <c r="L370" s="4">
        <v>2.87</v>
      </c>
      <c r="M370" s="4" t="s">
        <v>185</v>
      </c>
      <c r="N370" s="4" t="s">
        <v>186</v>
      </c>
      <c r="O370" s="4"/>
      <c r="P370" s="4"/>
      <c r="Q370" s="4">
        <v>5.23</v>
      </c>
      <c r="R370" s="4">
        <v>4</v>
      </c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>
        <v>884</v>
      </c>
      <c r="AF370" s="4">
        <v>52</v>
      </c>
      <c r="AG370" s="4">
        <v>4</v>
      </c>
    </row>
    <row r="371" spans="1:34" x14ac:dyDescent="0.3">
      <c r="A371" s="4" t="s">
        <v>33</v>
      </c>
      <c r="B371" s="4">
        <v>475</v>
      </c>
      <c r="C371" s="4" t="s">
        <v>43</v>
      </c>
      <c r="D371" s="5">
        <v>44336</v>
      </c>
      <c r="E371" s="6"/>
      <c r="F371" s="6" t="s">
        <v>44</v>
      </c>
      <c r="G371" s="6" t="s">
        <v>39</v>
      </c>
      <c r="H371" s="6">
        <v>68</v>
      </c>
      <c r="I371" s="6">
        <v>52.1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>
        <v>684</v>
      </c>
      <c r="AF371" s="4">
        <v>34</v>
      </c>
      <c r="AG371" s="4">
        <v>4</v>
      </c>
    </row>
    <row r="372" spans="1:34" x14ac:dyDescent="0.3">
      <c r="A372" s="4" t="s">
        <v>33</v>
      </c>
      <c r="B372" s="4">
        <v>620</v>
      </c>
      <c r="C372" s="4" t="s">
        <v>43</v>
      </c>
      <c r="D372" s="5">
        <v>44403</v>
      </c>
      <c r="E372" s="6">
        <v>40</v>
      </c>
      <c r="F372" s="6" t="s">
        <v>44</v>
      </c>
      <c r="G372" s="6" t="s">
        <v>39</v>
      </c>
      <c r="H372" s="6">
        <v>77.400000000000006</v>
      </c>
      <c r="I372" s="6">
        <v>52.3</v>
      </c>
      <c r="J372" s="4"/>
      <c r="K372" s="4">
        <v>1.79</v>
      </c>
      <c r="L372" s="4">
        <v>1.79</v>
      </c>
      <c r="M372" s="4">
        <v>1.1200000000000001</v>
      </c>
      <c r="N372" s="4">
        <v>1.27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>
        <v>580</v>
      </c>
      <c r="AF372" s="4">
        <v>36</v>
      </c>
      <c r="AG372" s="4">
        <v>4</v>
      </c>
    </row>
    <row r="373" spans="1:34" x14ac:dyDescent="0.3">
      <c r="A373" s="4" t="s">
        <v>33</v>
      </c>
      <c r="B373" s="4">
        <v>586</v>
      </c>
      <c r="C373" s="4" t="s">
        <v>43</v>
      </c>
      <c r="D373" s="5">
        <v>44361</v>
      </c>
      <c r="E373" s="6"/>
      <c r="F373" s="6" t="s">
        <v>44</v>
      </c>
      <c r="G373" s="6" t="s">
        <v>39</v>
      </c>
      <c r="H373" s="6">
        <v>78.2</v>
      </c>
      <c r="I373" s="6">
        <v>52.4</v>
      </c>
      <c r="J373" s="4">
        <v>1.84</v>
      </c>
      <c r="K373" s="4">
        <v>7</v>
      </c>
      <c r="L373" s="4">
        <v>7</v>
      </c>
      <c r="M373" s="4" t="s">
        <v>161</v>
      </c>
      <c r="N373" s="4" t="s">
        <v>162</v>
      </c>
      <c r="O373" s="4" t="s">
        <v>163</v>
      </c>
      <c r="P373" s="4" t="s">
        <v>164</v>
      </c>
      <c r="Q373" s="4">
        <v>9.39</v>
      </c>
      <c r="R373" s="4">
        <v>9.39</v>
      </c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>
        <v>1264</v>
      </c>
      <c r="AF373" s="4">
        <v>40</v>
      </c>
      <c r="AG373" s="4">
        <v>84</v>
      </c>
    </row>
    <row r="374" spans="1:34" x14ac:dyDescent="0.3">
      <c r="A374" s="4" t="s">
        <v>33</v>
      </c>
      <c r="B374" s="4">
        <v>521</v>
      </c>
      <c r="C374" s="4" t="s">
        <v>43</v>
      </c>
      <c r="D374" s="5">
        <v>44336</v>
      </c>
      <c r="E374" s="6"/>
      <c r="F374" s="6" t="s">
        <v>44</v>
      </c>
      <c r="G374" s="6" t="s">
        <v>39</v>
      </c>
      <c r="H374" s="6">
        <v>80.5</v>
      </c>
      <c r="I374" s="6">
        <v>54.2</v>
      </c>
      <c r="J374" s="4"/>
      <c r="K374" s="4">
        <v>1.5</v>
      </c>
      <c r="L374" s="4">
        <v>1.4</v>
      </c>
      <c r="M374" s="4" t="s">
        <v>117</v>
      </c>
      <c r="N374" s="4" t="s">
        <v>117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>
        <v>400</v>
      </c>
      <c r="AF374" s="4">
        <v>22</v>
      </c>
      <c r="AG374" s="4">
        <v>2</v>
      </c>
      <c r="AH374" s="14" t="s">
        <v>517</v>
      </c>
    </row>
    <row r="375" spans="1:34" x14ac:dyDescent="0.3">
      <c r="A375" s="4" t="s">
        <v>33</v>
      </c>
      <c r="B375" s="4">
        <v>1109</v>
      </c>
      <c r="C375" s="4" t="s">
        <v>302</v>
      </c>
      <c r="D375" s="11" t="s">
        <v>447</v>
      </c>
      <c r="E375" s="13">
        <v>45268</v>
      </c>
      <c r="F375" s="6" t="s">
        <v>44</v>
      </c>
      <c r="G375" s="6" t="s">
        <v>39</v>
      </c>
      <c r="H375" s="6">
        <v>72.400000000000006</v>
      </c>
      <c r="I375" s="6">
        <v>54.8</v>
      </c>
      <c r="J375" s="4">
        <v>2.08</v>
      </c>
      <c r="K375" s="4">
        <v>7.93</v>
      </c>
      <c r="L375" s="4">
        <v>8.44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>
        <v>133</v>
      </c>
      <c r="AF375" s="4"/>
      <c r="AG375" s="4"/>
    </row>
    <row r="376" spans="1:34" x14ac:dyDescent="0.3">
      <c r="A376" s="4" t="s">
        <v>33</v>
      </c>
      <c r="B376" s="4">
        <v>223</v>
      </c>
      <c r="C376" s="4" t="s">
        <v>43</v>
      </c>
      <c r="D376" s="5" t="s">
        <v>42</v>
      </c>
      <c r="E376" s="6">
        <v>15</v>
      </c>
      <c r="F376" s="6" t="s">
        <v>44</v>
      </c>
      <c r="G376" s="6" t="s">
        <v>39</v>
      </c>
      <c r="H376" s="6">
        <v>81.5</v>
      </c>
      <c r="I376" s="6">
        <v>55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>
        <v>2648</v>
      </c>
      <c r="AF376" s="4">
        <v>106</v>
      </c>
      <c r="AG376" s="4">
        <v>156</v>
      </c>
    </row>
    <row r="377" spans="1:34" x14ac:dyDescent="0.3">
      <c r="A377" s="4" t="s">
        <v>33</v>
      </c>
      <c r="B377" s="4">
        <v>1111</v>
      </c>
      <c r="C377" s="4" t="s">
        <v>302</v>
      </c>
      <c r="D377" s="11" t="s">
        <v>447</v>
      </c>
      <c r="E377" s="13">
        <v>45268</v>
      </c>
      <c r="F377" s="6" t="s">
        <v>44</v>
      </c>
      <c r="G377" s="6" t="s">
        <v>39</v>
      </c>
      <c r="H377" s="6">
        <v>78.2</v>
      </c>
      <c r="I377" s="6">
        <v>56.7</v>
      </c>
      <c r="J377" s="4">
        <v>1.99</v>
      </c>
      <c r="K377" s="4">
        <v>7.98</v>
      </c>
      <c r="L377" s="4">
        <v>7.67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>
        <v>1110</v>
      </c>
      <c r="AF377" s="4"/>
      <c r="AG377" s="4"/>
    </row>
    <row r="378" spans="1:34" x14ac:dyDescent="0.3">
      <c r="A378" s="4" t="s">
        <v>33</v>
      </c>
      <c r="B378" s="4">
        <v>1108</v>
      </c>
      <c r="C378" s="4" t="s">
        <v>302</v>
      </c>
      <c r="D378" s="11" t="s">
        <v>447</v>
      </c>
      <c r="E378" s="13">
        <v>45207</v>
      </c>
      <c r="F378" s="6" t="s">
        <v>44</v>
      </c>
      <c r="G378" s="6" t="s">
        <v>39</v>
      </c>
      <c r="H378" s="6">
        <v>69.8</v>
      </c>
      <c r="I378" s="6"/>
      <c r="J378" s="4">
        <v>1.81</v>
      </c>
      <c r="K378" s="4">
        <v>9.5500000000000007</v>
      </c>
      <c r="L378" s="4">
        <v>9.27</v>
      </c>
      <c r="M378" s="4"/>
      <c r="N378" s="4"/>
      <c r="O378" s="4">
        <v>10.050000000000001</v>
      </c>
      <c r="P378" s="4">
        <v>10.08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>
        <v>1602</v>
      </c>
      <c r="AF378" s="4"/>
      <c r="AG378" s="4"/>
    </row>
    <row r="379" spans="1:34" x14ac:dyDescent="0.3">
      <c r="A379" s="4" t="s">
        <v>33</v>
      </c>
      <c r="B379" s="4">
        <v>657</v>
      </c>
      <c r="C379" s="4" t="s">
        <v>43</v>
      </c>
      <c r="D379" s="5">
        <v>44438</v>
      </c>
      <c r="E379" s="6">
        <v>40</v>
      </c>
      <c r="F379" s="6" t="s">
        <v>44</v>
      </c>
      <c r="G379" s="6" t="s">
        <v>39</v>
      </c>
      <c r="H379" s="6">
        <v>72</v>
      </c>
      <c r="I379" s="6"/>
      <c r="J379" s="4"/>
      <c r="K379" s="4">
        <v>1.91</v>
      </c>
      <c r="L379" s="4">
        <v>2.35</v>
      </c>
      <c r="M379" s="4" t="s">
        <v>224</v>
      </c>
      <c r="N379" s="4" t="s">
        <v>225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>
        <v>774</v>
      </c>
      <c r="AF379" s="4">
        <v>44</v>
      </c>
      <c r="AG379" s="4">
        <v>2</v>
      </c>
      <c r="AH379" s="14" t="s">
        <v>577</v>
      </c>
    </row>
    <row r="380" spans="1:34" x14ac:dyDescent="0.3">
      <c r="A380" s="4" t="s">
        <v>33</v>
      </c>
      <c r="B380" s="4">
        <v>1237</v>
      </c>
      <c r="C380" s="4" t="s">
        <v>492</v>
      </c>
      <c r="D380" s="5"/>
      <c r="E380" s="6"/>
      <c r="F380" s="6" t="s">
        <v>44</v>
      </c>
      <c r="G380" s="6" t="s">
        <v>39</v>
      </c>
      <c r="H380" s="6">
        <v>73.8</v>
      </c>
      <c r="J380" s="41"/>
      <c r="K380" s="41"/>
      <c r="L380" s="4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>
        <v>1097</v>
      </c>
      <c r="AF380" s="4"/>
      <c r="AG380" s="4"/>
    </row>
    <row r="381" spans="1:34" x14ac:dyDescent="0.3">
      <c r="A381" s="4" t="s">
        <v>581</v>
      </c>
      <c r="B381" s="4">
        <f>COUNT(B5:B380)</f>
        <v>376</v>
      </c>
      <c r="C381" s="4"/>
      <c r="D381" s="5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4" x14ac:dyDescent="0.3">
      <c r="A382" s="4"/>
      <c r="B382" s="4"/>
      <c r="C382" s="4"/>
      <c r="D382" s="5"/>
      <c r="E382" s="6"/>
      <c r="F382" s="6"/>
      <c r="G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4" x14ac:dyDescent="0.3">
      <c r="A383" s="4"/>
      <c r="B383" s="4"/>
      <c r="C383" s="4"/>
      <c r="D383" s="5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4" x14ac:dyDescent="0.3">
      <c r="A384" s="4"/>
      <c r="B384" s="4"/>
      <c r="C384" s="4"/>
      <c r="D384" s="5"/>
      <c r="E384" s="6"/>
      <c r="F384" s="6"/>
      <c r="G384" s="6"/>
    </row>
    <row r="386" spans="1:6" x14ac:dyDescent="0.3">
      <c r="A386" s="58" t="s">
        <v>589</v>
      </c>
      <c r="B386" s="59"/>
      <c r="D386" s="58" t="s">
        <v>590</v>
      </c>
      <c r="E386" s="59"/>
    </row>
    <row r="387" spans="1:6" x14ac:dyDescent="0.3">
      <c r="A387" s="14" t="s">
        <v>581</v>
      </c>
      <c r="B387">
        <f>B381</f>
        <v>376</v>
      </c>
      <c r="D387" s="14" t="s">
        <v>581</v>
      </c>
      <c r="E387">
        <f>COUNT(I5:I377)</f>
        <v>373</v>
      </c>
    </row>
    <row r="388" spans="1:6" x14ac:dyDescent="0.3">
      <c r="A388" s="14" t="s">
        <v>582</v>
      </c>
      <c r="B388" s="16">
        <f>1+3.322*LOG(B387)</f>
        <v>9.5547740208496901</v>
      </c>
      <c r="C388">
        <v>10</v>
      </c>
      <c r="D388" s="14" t="s">
        <v>582</v>
      </c>
      <c r="E388" s="16">
        <f>1+3.322*LOG(E387)</f>
        <v>9.5432167392684608</v>
      </c>
      <c r="F388">
        <v>10</v>
      </c>
    </row>
    <row r="389" spans="1:6" x14ac:dyDescent="0.3">
      <c r="A389" s="14" t="s">
        <v>583</v>
      </c>
      <c r="B389">
        <f>MIN(H5:H380)</f>
        <v>15.2</v>
      </c>
      <c r="D389" s="14" t="s">
        <v>583</v>
      </c>
      <c r="E389">
        <f>MIN(I5:I377)</f>
        <v>8.9600000000000009</v>
      </c>
    </row>
    <row r="390" spans="1:6" x14ac:dyDescent="0.3">
      <c r="A390" s="14" t="s">
        <v>584</v>
      </c>
      <c r="B390">
        <f>MAX(H5:H380)</f>
        <v>81.5</v>
      </c>
      <c r="D390" s="14" t="s">
        <v>584</v>
      </c>
      <c r="E390">
        <f>MAX(I5:I377)</f>
        <v>56.7</v>
      </c>
    </row>
    <row r="391" spans="1:6" x14ac:dyDescent="0.3">
      <c r="A391" s="14" t="s">
        <v>585</v>
      </c>
      <c r="B391">
        <f>B390-B389</f>
        <v>66.3</v>
      </c>
      <c r="D391" s="14" t="s">
        <v>585</v>
      </c>
      <c r="E391">
        <f>E390-E389</f>
        <v>47.74</v>
      </c>
    </row>
    <row r="392" spans="1:6" x14ac:dyDescent="0.3">
      <c r="A392" s="14" t="s">
        <v>586</v>
      </c>
      <c r="B392" s="17">
        <f>B391/C388</f>
        <v>6.63</v>
      </c>
      <c r="D392" s="14" t="s">
        <v>586</v>
      </c>
      <c r="E392">
        <f>E391/F388</f>
        <v>4.774</v>
      </c>
    </row>
    <row r="395" spans="1:6" x14ac:dyDescent="0.3">
      <c r="A395" s="14" t="s">
        <v>587</v>
      </c>
      <c r="B395" s="14" t="s">
        <v>588</v>
      </c>
      <c r="D395" s="14" t="s">
        <v>587</v>
      </c>
      <c r="E395" s="14" t="s">
        <v>588</v>
      </c>
    </row>
    <row r="396" spans="1:6" x14ac:dyDescent="0.3">
      <c r="A396">
        <f>B389</f>
        <v>15.2</v>
      </c>
      <c r="B396" s="16">
        <f>A396+$B$392</f>
        <v>21.83</v>
      </c>
      <c r="D396" s="16">
        <f>E389</f>
        <v>8.9600000000000009</v>
      </c>
      <c r="E396" s="16">
        <f>D396+$E$392</f>
        <v>13.734000000000002</v>
      </c>
    </row>
    <row r="397" spans="1:6" x14ac:dyDescent="0.3">
      <c r="A397">
        <f>B396</f>
        <v>21.83</v>
      </c>
      <c r="B397" s="16">
        <f>A397+$B$392</f>
        <v>28.459999999999997</v>
      </c>
      <c r="D397" s="16">
        <f>E396</f>
        <v>13.734000000000002</v>
      </c>
      <c r="E397" s="16">
        <f>D397+$E$392</f>
        <v>18.508000000000003</v>
      </c>
    </row>
    <row r="398" spans="1:6" x14ac:dyDescent="0.3">
      <c r="A398">
        <f t="shared" ref="A398:A405" si="0">B397</f>
        <v>28.459999999999997</v>
      </c>
      <c r="B398" s="16">
        <f t="shared" ref="B398:B404" si="1">A398+$B$392</f>
        <v>35.089999999999996</v>
      </c>
      <c r="D398" s="16">
        <f t="shared" ref="D398:D405" si="2">E397</f>
        <v>18.508000000000003</v>
      </c>
      <c r="E398" s="16">
        <f t="shared" ref="E398:E404" si="3">D398+$E$392</f>
        <v>23.282000000000004</v>
      </c>
    </row>
    <row r="399" spans="1:6" x14ac:dyDescent="0.3">
      <c r="A399">
        <f t="shared" si="0"/>
        <v>35.089999999999996</v>
      </c>
      <c r="B399" s="16">
        <f t="shared" si="1"/>
        <v>41.72</v>
      </c>
      <c r="D399" s="16">
        <f t="shared" si="2"/>
        <v>23.282000000000004</v>
      </c>
      <c r="E399" s="16">
        <f t="shared" si="3"/>
        <v>28.056000000000004</v>
      </c>
    </row>
    <row r="400" spans="1:6" x14ac:dyDescent="0.3">
      <c r="A400">
        <f t="shared" si="0"/>
        <v>41.72</v>
      </c>
      <c r="B400" s="16">
        <f t="shared" si="1"/>
        <v>48.35</v>
      </c>
      <c r="D400" s="16">
        <f t="shared" si="2"/>
        <v>28.056000000000004</v>
      </c>
      <c r="E400" s="16">
        <f t="shared" si="3"/>
        <v>32.830000000000005</v>
      </c>
    </row>
    <row r="401" spans="1:5" x14ac:dyDescent="0.3">
      <c r="A401">
        <f t="shared" si="0"/>
        <v>48.35</v>
      </c>
      <c r="B401" s="16">
        <f t="shared" si="1"/>
        <v>54.980000000000004</v>
      </c>
      <c r="D401" s="16">
        <f t="shared" si="2"/>
        <v>32.830000000000005</v>
      </c>
      <c r="E401" s="16">
        <f t="shared" si="3"/>
        <v>37.604000000000006</v>
      </c>
    </row>
    <row r="402" spans="1:5" x14ac:dyDescent="0.3">
      <c r="A402">
        <f t="shared" si="0"/>
        <v>54.980000000000004</v>
      </c>
      <c r="B402" s="16">
        <f t="shared" si="1"/>
        <v>61.610000000000007</v>
      </c>
      <c r="D402" s="16">
        <f t="shared" si="2"/>
        <v>37.604000000000006</v>
      </c>
      <c r="E402" s="16">
        <f t="shared" si="3"/>
        <v>42.378000000000007</v>
      </c>
    </row>
    <row r="403" spans="1:5" x14ac:dyDescent="0.3">
      <c r="A403">
        <f t="shared" si="0"/>
        <v>61.610000000000007</v>
      </c>
      <c r="B403" s="16">
        <f t="shared" si="1"/>
        <v>68.240000000000009</v>
      </c>
      <c r="D403" s="16">
        <f t="shared" si="2"/>
        <v>42.378000000000007</v>
      </c>
      <c r="E403" s="16">
        <f t="shared" si="3"/>
        <v>47.152000000000008</v>
      </c>
    </row>
    <row r="404" spans="1:5" x14ac:dyDescent="0.3">
      <c r="A404">
        <f t="shared" si="0"/>
        <v>68.240000000000009</v>
      </c>
      <c r="B404" s="16">
        <f t="shared" si="1"/>
        <v>74.87</v>
      </c>
      <c r="D404" s="16">
        <f t="shared" si="2"/>
        <v>47.152000000000008</v>
      </c>
      <c r="E404" s="16">
        <f t="shared" si="3"/>
        <v>51.926000000000009</v>
      </c>
    </row>
    <row r="405" spans="1:5" x14ac:dyDescent="0.3">
      <c r="A405">
        <f t="shared" si="0"/>
        <v>74.87</v>
      </c>
      <c r="B405" s="16">
        <f>A405+$B$392</f>
        <v>81.5</v>
      </c>
      <c r="D405" s="16">
        <f t="shared" si="2"/>
        <v>51.926000000000009</v>
      </c>
      <c r="E405" s="16">
        <f>D405+$E$392</f>
        <v>56.70000000000001</v>
      </c>
    </row>
    <row r="407" spans="1:5" ht="13.5" thickBot="1" x14ac:dyDescent="0.35"/>
    <row r="408" spans="1:5" x14ac:dyDescent="0.3">
      <c r="A408" s="42" t="s">
        <v>591</v>
      </c>
      <c r="B408" s="42" t="s">
        <v>592</v>
      </c>
      <c r="D408" s="42" t="s">
        <v>591</v>
      </c>
      <c r="E408" s="42" t="s">
        <v>592</v>
      </c>
    </row>
    <row r="409" spans="1:5" x14ac:dyDescent="0.3">
      <c r="A409" s="16">
        <v>21.83</v>
      </c>
      <c r="B409">
        <v>3</v>
      </c>
      <c r="D409" s="16">
        <v>13.734000000000002</v>
      </c>
      <c r="E409">
        <v>3</v>
      </c>
    </row>
    <row r="410" spans="1:5" x14ac:dyDescent="0.3">
      <c r="A410" s="16">
        <v>28.459999999999997</v>
      </c>
      <c r="B410">
        <v>1</v>
      </c>
      <c r="D410" s="16">
        <v>18.508000000000003</v>
      </c>
      <c r="E410">
        <v>1</v>
      </c>
    </row>
    <row r="411" spans="1:5" x14ac:dyDescent="0.3">
      <c r="A411" s="16">
        <v>35.089999999999996</v>
      </c>
      <c r="B411">
        <v>1</v>
      </c>
      <c r="D411" s="16">
        <v>23.282000000000004</v>
      </c>
      <c r="E411">
        <v>0</v>
      </c>
    </row>
    <row r="412" spans="1:5" x14ac:dyDescent="0.3">
      <c r="A412" s="16">
        <v>41.72</v>
      </c>
      <c r="B412">
        <v>4</v>
      </c>
      <c r="D412" s="16">
        <v>28.056000000000004</v>
      </c>
      <c r="E412">
        <v>3</v>
      </c>
    </row>
    <row r="413" spans="1:5" x14ac:dyDescent="0.3">
      <c r="A413" s="16">
        <v>48.35</v>
      </c>
      <c r="B413">
        <v>25</v>
      </c>
      <c r="D413" s="16">
        <v>32.830000000000005</v>
      </c>
      <c r="E413">
        <v>35</v>
      </c>
    </row>
    <row r="414" spans="1:5" x14ac:dyDescent="0.3">
      <c r="A414" s="16">
        <v>54.980000000000004</v>
      </c>
      <c r="B414">
        <v>39</v>
      </c>
      <c r="D414" s="16">
        <v>37.604000000000006</v>
      </c>
      <c r="E414">
        <v>26</v>
      </c>
    </row>
    <row r="415" spans="1:5" x14ac:dyDescent="0.3">
      <c r="A415" s="16">
        <v>61.610000000000007</v>
      </c>
      <c r="B415">
        <v>54</v>
      </c>
      <c r="D415" s="16">
        <v>42.378000000000007</v>
      </c>
      <c r="E415">
        <v>55</v>
      </c>
    </row>
    <row r="416" spans="1:5" x14ac:dyDescent="0.3">
      <c r="A416" s="16">
        <v>68.240000000000009</v>
      </c>
      <c r="B416">
        <v>145</v>
      </c>
      <c r="D416" s="16">
        <v>47.152000000000008</v>
      </c>
      <c r="E416">
        <v>171</v>
      </c>
    </row>
    <row r="417" spans="1:5" x14ac:dyDescent="0.3">
      <c r="A417" s="16">
        <v>74.87</v>
      </c>
      <c r="B417">
        <v>87</v>
      </c>
      <c r="D417" s="16">
        <v>51.926000000000009</v>
      </c>
      <c r="E417">
        <v>72</v>
      </c>
    </row>
    <row r="418" spans="1:5" x14ac:dyDescent="0.3">
      <c r="A418" s="32">
        <v>81.5</v>
      </c>
      <c r="B418" s="33">
        <v>17</v>
      </c>
      <c r="D418" s="32">
        <v>56.70000000000001</v>
      </c>
      <c r="E418" s="33">
        <v>7</v>
      </c>
    </row>
    <row r="438" spans="1:13" x14ac:dyDescent="0.3">
      <c r="H438" s="58" t="s">
        <v>594</v>
      </c>
      <c r="I438" s="59"/>
      <c r="J438" s="59"/>
      <c r="K438" s="59"/>
      <c r="L438" s="59"/>
      <c r="M438" s="59"/>
    </row>
    <row r="439" spans="1:13" x14ac:dyDescent="0.3">
      <c r="A439" s="58" t="s">
        <v>593</v>
      </c>
      <c r="B439" s="59"/>
      <c r="C439" s="59"/>
      <c r="D439" s="59"/>
      <c r="E439" s="59"/>
      <c r="F439" s="59"/>
      <c r="H439" s="59"/>
      <c r="I439" s="59"/>
      <c r="J439" s="59"/>
      <c r="K439" s="59"/>
      <c r="L439" s="59"/>
      <c r="M439" s="59"/>
    </row>
    <row r="440" spans="1:13" x14ac:dyDescent="0.3">
      <c r="A440" s="59"/>
      <c r="B440" s="59"/>
      <c r="C440" s="59"/>
      <c r="D440" s="59"/>
      <c r="E440" s="59"/>
      <c r="F440" s="59"/>
    </row>
  </sheetData>
  <sortState xmlns:xlrd2="http://schemas.microsoft.com/office/spreadsheetml/2017/richdata2" ref="A5:AH381">
    <sortCondition ref="I5:I381"/>
  </sortState>
  <mergeCells count="4">
    <mergeCell ref="A386:B386"/>
    <mergeCell ref="D386:E386"/>
    <mergeCell ref="A439:F440"/>
    <mergeCell ref="H438:M439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7B07-7CAD-40A3-B372-DD99179858EE}">
  <sheetPr>
    <outlinePr summaryBelow="0" summaryRight="0"/>
  </sheetPr>
  <dimension ref="A1:AI610"/>
  <sheetViews>
    <sheetView topLeftCell="P1" zoomScale="72" zoomScaleNormal="72" workbookViewId="0">
      <pane ySplit="1" topLeftCell="A144" activePane="bottomLeft" state="frozen"/>
      <selection pane="bottomLeft" activeCell="AF1" sqref="AF1:AF1048576"/>
    </sheetView>
  </sheetViews>
  <sheetFormatPr baseColWidth="10" defaultColWidth="12.69921875" defaultRowHeight="15.75" customHeight="1" x14ac:dyDescent="0.3"/>
  <cols>
    <col min="1" max="1" width="12.296875" customWidth="1"/>
    <col min="2" max="2" width="11.09765625" customWidth="1"/>
    <col min="3" max="3" width="12.8984375" customWidth="1"/>
    <col min="4" max="4" width="12.296875" customWidth="1"/>
    <col min="5" max="6" width="12.69921875" style="39"/>
    <col min="7" max="7" width="9.69921875" style="39" customWidth="1"/>
    <col min="8" max="8" width="12.69921875" style="39"/>
    <col min="9" max="9" width="21.8984375" style="39" customWidth="1"/>
    <col min="10" max="10" width="12" customWidth="1"/>
    <col min="13" max="13" width="20.09765625" customWidth="1"/>
  </cols>
  <sheetData>
    <row r="1" spans="1:34" ht="32.5" x14ac:dyDescent="0.65">
      <c r="A1" s="12" t="s">
        <v>500</v>
      </c>
      <c r="B1" s="4"/>
      <c r="C1" s="4"/>
      <c r="D1" s="5"/>
      <c r="E1" s="6"/>
      <c r="F1" s="6"/>
      <c r="G1" s="6"/>
      <c r="H1" s="6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4" ht="13" x14ac:dyDescent="0.3">
      <c r="A2" s="4"/>
      <c r="B2" s="4"/>
      <c r="C2" s="4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4" ht="13" x14ac:dyDescent="0.3">
      <c r="A3" s="4"/>
      <c r="B3" s="4"/>
      <c r="C3" s="4"/>
      <c r="D3" s="5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4" ht="13" x14ac:dyDescent="0.3">
      <c r="A4" s="1" t="s">
        <v>0</v>
      </c>
      <c r="B4" s="1" t="s">
        <v>1</v>
      </c>
      <c r="C4" s="1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 t="s">
        <v>501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505</v>
      </c>
    </row>
    <row r="5" spans="1:34" ht="13" x14ac:dyDescent="0.3">
      <c r="A5" s="4" t="s">
        <v>33</v>
      </c>
      <c r="B5" s="4">
        <v>2</v>
      </c>
      <c r="C5" s="4" t="s">
        <v>34</v>
      </c>
      <c r="D5" s="5">
        <v>43843</v>
      </c>
      <c r="E5" s="6"/>
      <c r="F5" s="6" t="s">
        <v>35</v>
      </c>
      <c r="G5" s="6" t="s">
        <v>39</v>
      </c>
      <c r="H5" s="6">
        <v>60.5</v>
      </c>
      <c r="I5" s="6">
        <v>45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4" ht="13" x14ac:dyDescent="0.3">
      <c r="A6" s="4" t="s">
        <v>33</v>
      </c>
      <c r="B6" s="4">
        <v>3</v>
      </c>
      <c r="C6" s="4" t="s">
        <v>34</v>
      </c>
      <c r="D6" s="5">
        <v>43843</v>
      </c>
      <c r="E6" s="6"/>
      <c r="F6" s="6" t="s">
        <v>35</v>
      </c>
      <c r="G6" s="6" t="s">
        <v>40</v>
      </c>
      <c r="H6" s="6">
        <v>51</v>
      </c>
      <c r="I6" s="6">
        <v>33</v>
      </c>
      <c r="J6" s="4" t="s">
        <v>645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4" ht="13" x14ac:dyDescent="0.3">
      <c r="A7" s="4" t="s">
        <v>33</v>
      </c>
      <c r="B7" s="4">
        <v>5</v>
      </c>
      <c r="C7" s="4" t="s">
        <v>36</v>
      </c>
      <c r="D7" s="4" t="s">
        <v>37</v>
      </c>
      <c r="E7" s="6"/>
      <c r="F7" s="6" t="s">
        <v>35</v>
      </c>
      <c r="G7" s="6" t="s">
        <v>40</v>
      </c>
      <c r="H7" s="6">
        <v>38.4</v>
      </c>
      <c r="I7" s="6">
        <v>26.35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4" ht="13" x14ac:dyDescent="0.3">
      <c r="A8" s="4" t="s">
        <v>33</v>
      </c>
      <c r="B8" s="4">
        <v>10</v>
      </c>
      <c r="C8" s="4" t="s">
        <v>38</v>
      </c>
      <c r="D8" s="5">
        <v>43872</v>
      </c>
      <c r="E8" s="6">
        <v>50</v>
      </c>
      <c r="F8" s="6" t="s">
        <v>35</v>
      </c>
      <c r="G8" s="6" t="s">
        <v>39</v>
      </c>
      <c r="H8" s="6">
        <v>74.900000000000006</v>
      </c>
      <c r="I8" s="6">
        <v>58.6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4" ht="13" x14ac:dyDescent="0.3">
      <c r="A9" s="4" t="s">
        <v>33</v>
      </c>
      <c r="B9" s="4">
        <v>16</v>
      </c>
      <c r="C9" s="4" t="s">
        <v>38</v>
      </c>
      <c r="D9" s="5">
        <v>43875</v>
      </c>
      <c r="E9" s="6">
        <v>50</v>
      </c>
      <c r="F9" s="6" t="s">
        <v>35</v>
      </c>
      <c r="G9" s="6" t="s">
        <v>40</v>
      </c>
      <c r="H9" s="6">
        <v>33.1</v>
      </c>
      <c r="I9" s="6">
        <v>23.3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4" ht="13" x14ac:dyDescent="0.3">
      <c r="A10" s="4" t="s">
        <v>33</v>
      </c>
      <c r="B10" s="4">
        <v>158</v>
      </c>
      <c r="C10" s="4" t="s">
        <v>41</v>
      </c>
      <c r="D10" s="5" t="s">
        <v>42</v>
      </c>
      <c r="E10" s="6">
        <v>15</v>
      </c>
      <c r="F10" s="6" t="s">
        <v>35</v>
      </c>
      <c r="G10" s="6" t="s">
        <v>40</v>
      </c>
      <c r="H10" s="6">
        <v>68</v>
      </c>
      <c r="I10" s="6">
        <v>47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>
        <v>1452</v>
      </c>
      <c r="AF10" s="4">
        <v>88</v>
      </c>
      <c r="AG10" s="4"/>
    </row>
    <row r="11" spans="1:34" ht="13" x14ac:dyDescent="0.3">
      <c r="A11" s="4" t="s">
        <v>33</v>
      </c>
      <c r="B11" s="4">
        <v>159</v>
      </c>
      <c r="C11" s="4" t="s">
        <v>43</v>
      </c>
      <c r="D11" s="5" t="s">
        <v>42</v>
      </c>
      <c r="E11" s="6">
        <v>15</v>
      </c>
      <c r="F11" s="6" t="s">
        <v>35</v>
      </c>
      <c r="G11" s="6" t="s">
        <v>39</v>
      </c>
      <c r="H11" s="6">
        <v>72</v>
      </c>
      <c r="I11" s="6">
        <v>58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>
        <v>2950</v>
      </c>
      <c r="AF11" s="4"/>
      <c r="AG11" s="4"/>
    </row>
    <row r="12" spans="1:34" ht="13" x14ac:dyDescent="0.3">
      <c r="A12" s="4" t="s">
        <v>33</v>
      </c>
      <c r="B12" s="4">
        <v>161</v>
      </c>
      <c r="C12" s="4" t="s">
        <v>41</v>
      </c>
      <c r="D12" s="5" t="s">
        <v>42</v>
      </c>
      <c r="E12" s="6">
        <v>15</v>
      </c>
      <c r="F12" s="6" t="s">
        <v>35</v>
      </c>
      <c r="G12" s="6" t="s">
        <v>40</v>
      </c>
      <c r="H12" s="6">
        <v>55</v>
      </c>
      <c r="I12" s="6">
        <v>38.5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v>992</v>
      </c>
      <c r="AF12" s="4">
        <v>40</v>
      </c>
      <c r="AG12" s="4"/>
    </row>
    <row r="13" spans="1:34" ht="13" x14ac:dyDescent="0.3">
      <c r="A13" s="4" t="s">
        <v>33</v>
      </c>
      <c r="B13" s="4">
        <v>162</v>
      </c>
      <c r="C13" s="4" t="s">
        <v>41</v>
      </c>
      <c r="D13" s="5" t="s">
        <v>42</v>
      </c>
      <c r="E13" s="6">
        <v>15</v>
      </c>
      <c r="F13" s="6" t="s">
        <v>35</v>
      </c>
      <c r="G13" s="6" t="s">
        <v>40</v>
      </c>
      <c r="H13" s="6">
        <v>44.3</v>
      </c>
      <c r="I13" s="6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>
        <v>370</v>
      </c>
      <c r="AF13" s="4">
        <v>14</v>
      </c>
      <c r="AG13" s="4"/>
      <c r="AH13" s="14" t="s">
        <v>504</v>
      </c>
    </row>
    <row r="14" spans="1:34" ht="13" x14ac:dyDescent="0.3">
      <c r="A14" s="4" t="s">
        <v>33</v>
      </c>
      <c r="B14" s="4">
        <v>163</v>
      </c>
      <c r="C14" s="4" t="s">
        <v>41</v>
      </c>
      <c r="D14" s="5" t="s">
        <v>42</v>
      </c>
      <c r="E14" s="6">
        <v>15</v>
      </c>
      <c r="F14" s="6" t="s">
        <v>35</v>
      </c>
      <c r="G14" s="6" t="s">
        <v>40</v>
      </c>
      <c r="H14" s="6">
        <v>44</v>
      </c>
      <c r="I14" s="6">
        <v>29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v>388</v>
      </c>
      <c r="AF14" s="4">
        <v>20</v>
      </c>
      <c r="AG14" s="4"/>
      <c r="AH14" s="14" t="s">
        <v>508</v>
      </c>
    </row>
    <row r="15" spans="1:34" ht="13" x14ac:dyDescent="0.3">
      <c r="A15" s="4" t="s">
        <v>33</v>
      </c>
      <c r="B15" s="4">
        <v>165</v>
      </c>
      <c r="C15" s="4" t="s">
        <v>41</v>
      </c>
      <c r="D15" s="5" t="s">
        <v>42</v>
      </c>
      <c r="E15" s="6">
        <v>15</v>
      </c>
      <c r="F15" s="6" t="s">
        <v>35</v>
      </c>
      <c r="G15" s="6" t="s">
        <v>39</v>
      </c>
      <c r="H15" s="6">
        <v>86</v>
      </c>
      <c r="I15" s="6">
        <v>55.5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2962</v>
      </c>
      <c r="AF15" s="4">
        <v>206</v>
      </c>
      <c r="AG15" s="4">
        <v>150</v>
      </c>
    </row>
    <row r="16" spans="1:34" ht="13" x14ac:dyDescent="0.3">
      <c r="A16" s="4" t="s">
        <v>33</v>
      </c>
      <c r="B16" s="4">
        <v>166</v>
      </c>
      <c r="C16" s="4" t="s">
        <v>41</v>
      </c>
      <c r="D16" s="5" t="s">
        <v>42</v>
      </c>
      <c r="E16" s="6">
        <v>15</v>
      </c>
      <c r="F16" s="6" t="s">
        <v>35</v>
      </c>
      <c r="G16" s="6" t="s">
        <v>40</v>
      </c>
      <c r="H16" s="6">
        <v>62</v>
      </c>
      <c r="I16" s="6">
        <v>41.5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>
        <v>1140</v>
      </c>
      <c r="AF16" s="4">
        <v>60</v>
      </c>
      <c r="AG16" s="4">
        <v>2</v>
      </c>
    </row>
    <row r="17" spans="1:34" ht="13" x14ac:dyDescent="0.3">
      <c r="A17" s="4" t="s">
        <v>33</v>
      </c>
      <c r="B17" s="4">
        <v>168</v>
      </c>
      <c r="C17" s="4" t="s">
        <v>41</v>
      </c>
      <c r="D17" s="5" t="s">
        <v>42</v>
      </c>
      <c r="E17" s="6">
        <v>15</v>
      </c>
      <c r="F17" s="6" t="s">
        <v>35</v>
      </c>
      <c r="G17" s="6" t="s">
        <v>40</v>
      </c>
      <c r="H17" s="6">
        <v>66.2</v>
      </c>
      <c r="I17" s="6">
        <v>47.3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>
        <v>1594</v>
      </c>
      <c r="AF17" s="4">
        <v>88</v>
      </c>
      <c r="AG17" s="4"/>
      <c r="AH17" s="14" t="s">
        <v>507</v>
      </c>
    </row>
    <row r="18" spans="1:34" ht="13" x14ac:dyDescent="0.3">
      <c r="A18" s="4" t="s">
        <v>33</v>
      </c>
      <c r="B18" s="4">
        <v>169</v>
      </c>
      <c r="C18" s="4" t="s">
        <v>41</v>
      </c>
      <c r="D18" s="5" t="s">
        <v>42</v>
      </c>
      <c r="E18" s="6">
        <v>15</v>
      </c>
      <c r="F18" s="6" t="s">
        <v>35</v>
      </c>
      <c r="G18" s="6" t="s">
        <v>39</v>
      </c>
      <c r="H18" s="6">
        <v>70.5</v>
      </c>
      <c r="I18" s="6">
        <v>36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>
        <v>2326</v>
      </c>
      <c r="AF18" s="4">
        <v>176</v>
      </c>
      <c r="AG18" s="4">
        <v>24</v>
      </c>
      <c r="AH18" s="14" t="s">
        <v>509</v>
      </c>
    </row>
    <row r="19" spans="1:34" ht="13" x14ac:dyDescent="0.3">
      <c r="A19" s="4" t="s">
        <v>33</v>
      </c>
      <c r="B19" s="4">
        <v>171</v>
      </c>
      <c r="C19" s="4" t="s">
        <v>41</v>
      </c>
      <c r="D19" s="5" t="s">
        <v>42</v>
      </c>
      <c r="E19" s="6">
        <v>15</v>
      </c>
      <c r="F19" s="6" t="s">
        <v>35</v>
      </c>
      <c r="G19" s="6" t="s">
        <v>39</v>
      </c>
      <c r="H19" s="6">
        <v>60</v>
      </c>
      <c r="I19" s="6">
        <v>43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>
        <v>2172</v>
      </c>
      <c r="AF19" s="4">
        <v>122</v>
      </c>
      <c r="AG19" s="4"/>
    </row>
    <row r="20" spans="1:34" ht="13" x14ac:dyDescent="0.3">
      <c r="A20" s="4" t="s">
        <v>33</v>
      </c>
      <c r="B20" s="4">
        <v>174</v>
      </c>
      <c r="C20" s="4" t="s">
        <v>41</v>
      </c>
      <c r="D20" s="5" t="s">
        <v>42</v>
      </c>
      <c r="E20" s="6">
        <v>15</v>
      </c>
      <c r="F20" s="6" t="s">
        <v>35</v>
      </c>
      <c r="G20" s="6" t="s">
        <v>40</v>
      </c>
      <c r="H20" s="6">
        <v>74.3</v>
      </c>
      <c r="I20" s="6">
        <v>35.200000000000003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v>1198</v>
      </c>
      <c r="AF20" s="4">
        <v>112</v>
      </c>
      <c r="AG20" s="4"/>
      <c r="AH20" s="14" t="s">
        <v>511</v>
      </c>
    </row>
    <row r="21" spans="1:34" ht="13" x14ac:dyDescent="0.3">
      <c r="A21" s="4" t="s">
        <v>33</v>
      </c>
      <c r="B21" s="4">
        <v>175</v>
      </c>
      <c r="C21" s="4" t="s">
        <v>41</v>
      </c>
      <c r="D21" s="5" t="s">
        <v>42</v>
      </c>
      <c r="E21" s="6">
        <v>15</v>
      </c>
      <c r="F21" s="6" t="s">
        <v>35</v>
      </c>
      <c r="G21" s="6" t="s">
        <v>40</v>
      </c>
      <c r="H21" s="6">
        <v>69.2</v>
      </c>
      <c r="I21" s="6">
        <v>46.3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>
        <v>1974</v>
      </c>
      <c r="AF21" s="4">
        <v>96</v>
      </c>
      <c r="AG21" s="4">
        <v>16</v>
      </c>
    </row>
    <row r="22" spans="1:34" ht="13" x14ac:dyDescent="0.3">
      <c r="A22" s="4" t="s">
        <v>33</v>
      </c>
      <c r="B22" s="4">
        <v>177</v>
      </c>
      <c r="C22" s="4" t="s">
        <v>41</v>
      </c>
      <c r="D22" s="5" t="s">
        <v>42</v>
      </c>
      <c r="E22" s="6">
        <v>15</v>
      </c>
      <c r="F22" s="6" t="s">
        <v>35</v>
      </c>
      <c r="G22" s="6" t="s">
        <v>40</v>
      </c>
      <c r="H22" s="6">
        <v>50</v>
      </c>
      <c r="I22" s="6">
        <v>33.4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>
        <v>676</v>
      </c>
      <c r="AF22" s="4">
        <v>34</v>
      </c>
      <c r="AG22" s="4"/>
    </row>
    <row r="23" spans="1:34" ht="13" x14ac:dyDescent="0.3">
      <c r="A23" s="4" t="s">
        <v>33</v>
      </c>
      <c r="B23" s="4">
        <v>178</v>
      </c>
      <c r="C23" s="4" t="s">
        <v>41</v>
      </c>
      <c r="D23" s="5" t="s">
        <v>42</v>
      </c>
      <c r="E23" s="6">
        <v>15</v>
      </c>
      <c r="F23" s="6" t="s">
        <v>35</v>
      </c>
      <c r="G23" s="6" t="s">
        <v>40</v>
      </c>
      <c r="H23" s="6">
        <v>63</v>
      </c>
      <c r="I23" s="6">
        <v>45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>
        <v>1540</v>
      </c>
      <c r="AF23" s="4">
        <v>92</v>
      </c>
      <c r="AG23" s="4">
        <v>6</v>
      </c>
    </row>
    <row r="24" spans="1:34" ht="13" x14ac:dyDescent="0.3">
      <c r="A24" s="4" t="s">
        <v>33</v>
      </c>
      <c r="B24" s="4">
        <v>179</v>
      </c>
      <c r="C24" s="4" t="s">
        <v>41</v>
      </c>
      <c r="D24" s="5" t="s">
        <v>42</v>
      </c>
      <c r="E24" s="6">
        <v>15</v>
      </c>
      <c r="F24" s="6" t="s">
        <v>35</v>
      </c>
      <c r="G24" s="6" t="s">
        <v>40</v>
      </c>
      <c r="H24" s="6">
        <v>60.9</v>
      </c>
      <c r="I24" s="6">
        <v>39.4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>
        <v>966</v>
      </c>
      <c r="AF24" s="4">
        <v>66</v>
      </c>
      <c r="AG24" s="4">
        <v>2</v>
      </c>
      <c r="AH24" s="14" t="s">
        <v>512</v>
      </c>
    </row>
    <row r="25" spans="1:34" ht="13" x14ac:dyDescent="0.3">
      <c r="A25" s="4" t="s">
        <v>33</v>
      </c>
      <c r="B25" s="4">
        <v>180</v>
      </c>
      <c r="C25" s="4" t="s">
        <v>43</v>
      </c>
      <c r="D25" s="5" t="s">
        <v>42</v>
      </c>
      <c r="E25" s="6">
        <v>15</v>
      </c>
      <c r="F25" s="6" t="s">
        <v>35</v>
      </c>
      <c r="G25" s="6" t="s">
        <v>40</v>
      </c>
      <c r="H25" s="6">
        <v>60</v>
      </c>
      <c r="I25" s="6">
        <v>39.5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>
        <v>862</v>
      </c>
      <c r="AF25" s="4"/>
      <c r="AG25" s="4"/>
      <c r="AH25" s="14" t="s">
        <v>508</v>
      </c>
    </row>
    <row r="26" spans="1:34" ht="13" x14ac:dyDescent="0.3">
      <c r="A26" s="4" t="s">
        <v>33</v>
      </c>
      <c r="B26" s="4">
        <v>181</v>
      </c>
      <c r="C26" s="4" t="s">
        <v>43</v>
      </c>
      <c r="D26" s="5" t="s">
        <v>42</v>
      </c>
      <c r="E26" s="6">
        <v>15</v>
      </c>
      <c r="F26" s="6" t="s">
        <v>35</v>
      </c>
      <c r="G26" s="6" t="s">
        <v>39</v>
      </c>
      <c r="H26" s="6">
        <v>90.5</v>
      </c>
      <c r="I26" s="6">
        <v>61.2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>
        <v>3788</v>
      </c>
      <c r="AF26" s="4"/>
      <c r="AG26" s="4"/>
    </row>
    <row r="27" spans="1:34" ht="13" x14ac:dyDescent="0.3">
      <c r="A27" s="4" t="s">
        <v>33</v>
      </c>
      <c r="B27" s="4">
        <v>182</v>
      </c>
      <c r="C27" s="4" t="s">
        <v>41</v>
      </c>
      <c r="D27" s="5" t="s">
        <v>42</v>
      </c>
      <c r="E27" s="6">
        <v>15</v>
      </c>
      <c r="F27" s="6" t="s">
        <v>35</v>
      </c>
      <c r="G27" s="6" t="s">
        <v>40</v>
      </c>
      <c r="H27" s="6">
        <v>71.2</v>
      </c>
      <c r="I27" s="6">
        <v>46.1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>
        <v>1744</v>
      </c>
      <c r="AF27" s="4">
        <v>122</v>
      </c>
      <c r="AG27" s="4">
        <v>14</v>
      </c>
      <c r="AH27" s="14" t="s">
        <v>513</v>
      </c>
    </row>
    <row r="28" spans="1:34" ht="13" x14ac:dyDescent="0.3">
      <c r="A28" s="4" t="s">
        <v>33</v>
      </c>
      <c r="B28" s="4">
        <v>184</v>
      </c>
      <c r="C28" s="4" t="s">
        <v>41</v>
      </c>
      <c r="D28" s="5" t="s">
        <v>42</v>
      </c>
      <c r="E28" s="6">
        <v>15</v>
      </c>
      <c r="F28" s="6" t="s">
        <v>35</v>
      </c>
      <c r="G28" s="6" t="s">
        <v>39</v>
      </c>
      <c r="H28" s="6">
        <v>80.2</v>
      </c>
      <c r="I28" s="6">
        <v>53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v>2802</v>
      </c>
      <c r="AF28" s="4">
        <v>80</v>
      </c>
      <c r="AG28" s="4">
        <v>120</v>
      </c>
    </row>
    <row r="29" spans="1:34" ht="13" x14ac:dyDescent="0.3">
      <c r="A29" s="4" t="s">
        <v>33</v>
      </c>
      <c r="B29" s="4">
        <v>185</v>
      </c>
      <c r="C29" s="4" t="s">
        <v>41</v>
      </c>
      <c r="D29" s="5" t="s">
        <v>42</v>
      </c>
      <c r="E29" s="6">
        <v>15</v>
      </c>
      <c r="F29" s="6" t="s">
        <v>35</v>
      </c>
      <c r="G29" s="6" t="s">
        <v>40</v>
      </c>
      <c r="H29" s="6">
        <v>73.7</v>
      </c>
      <c r="I29" s="6">
        <v>45.6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>
        <v>1762</v>
      </c>
      <c r="AF29" s="4">
        <v>100</v>
      </c>
      <c r="AG29" s="4">
        <v>18</v>
      </c>
      <c r="AH29" s="14" t="s">
        <v>514</v>
      </c>
    </row>
    <row r="30" spans="1:34" ht="13" x14ac:dyDescent="0.3">
      <c r="A30" s="4" t="s">
        <v>33</v>
      </c>
      <c r="B30" s="4">
        <v>186</v>
      </c>
      <c r="C30" s="4" t="s">
        <v>41</v>
      </c>
      <c r="D30" s="5" t="s">
        <v>42</v>
      </c>
      <c r="E30" s="6">
        <v>15</v>
      </c>
      <c r="F30" s="6" t="s">
        <v>35</v>
      </c>
      <c r="G30" s="6" t="s">
        <v>39</v>
      </c>
      <c r="H30" s="6">
        <v>68.5</v>
      </c>
      <c r="I30" s="6">
        <v>44.3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>
        <v>1684</v>
      </c>
      <c r="AF30" s="4">
        <v>84</v>
      </c>
      <c r="AG30" s="4">
        <v>24</v>
      </c>
    </row>
    <row r="31" spans="1:34" ht="13" x14ac:dyDescent="0.3">
      <c r="A31" s="4" t="s">
        <v>33</v>
      </c>
      <c r="B31" s="4">
        <v>188</v>
      </c>
      <c r="C31" s="4" t="s">
        <v>41</v>
      </c>
      <c r="D31" s="5" t="s">
        <v>42</v>
      </c>
      <c r="E31" s="6">
        <v>15</v>
      </c>
      <c r="F31" s="6" t="s">
        <v>35</v>
      </c>
      <c r="G31" s="6" t="s">
        <v>39</v>
      </c>
      <c r="H31" s="6">
        <v>85.7</v>
      </c>
      <c r="I31" s="6">
        <v>62.5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>
        <v>4448</v>
      </c>
      <c r="AF31" s="4">
        <v>185</v>
      </c>
      <c r="AG31" s="4">
        <v>235</v>
      </c>
    </row>
    <row r="32" spans="1:34" ht="13" x14ac:dyDescent="0.3">
      <c r="A32" s="4" t="s">
        <v>33</v>
      </c>
      <c r="B32" s="4">
        <v>193</v>
      </c>
      <c r="C32" s="4" t="s">
        <v>41</v>
      </c>
      <c r="D32" s="5" t="s">
        <v>42</v>
      </c>
      <c r="E32" s="6">
        <v>15</v>
      </c>
      <c r="F32" s="6" t="s">
        <v>35</v>
      </c>
      <c r="G32" s="6" t="s">
        <v>40</v>
      </c>
      <c r="H32" s="6">
        <v>72</v>
      </c>
      <c r="I32" s="6">
        <v>52.3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>
        <v>2670</v>
      </c>
      <c r="AF32" s="4">
        <v>158</v>
      </c>
      <c r="AG32" s="4">
        <v>24</v>
      </c>
    </row>
    <row r="33" spans="1:34" ht="13" x14ac:dyDescent="0.3">
      <c r="A33" s="4" t="s">
        <v>33</v>
      </c>
      <c r="B33" s="4">
        <v>195</v>
      </c>
      <c r="C33" s="4" t="s">
        <v>41</v>
      </c>
      <c r="D33" s="5" t="s">
        <v>42</v>
      </c>
      <c r="E33" s="6">
        <v>15</v>
      </c>
      <c r="F33" s="6" t="s">
        <v>35</v>
      </c>
      <c r="G33" s="6" t="s">
        <v>40</v>
      </c>
      <c r="H33" s="6">
        <v>62.6</v>
      </c>
      <c r="I33" s="6">
        <v>38.5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>
        <v>1300</v>
      </c>
      <c r="AF33" s="4">
        <v>70</v>
      </c>
      <c r="AG33" s="4"/>
      <c r="AH33" s="14" t="s">
        <v>504</v>
      </c>
    </row>
    <row r="34" spans="1:34" ht="13" x14ac:dyDescent="0.3">
      <c r="A34" s="4" t="s">
        <v>33</v>
      </c>
      <c r="B34" s="4">
        <v>197</v>
      </c>
      <c r="C34" s="4" t="s">
        <v>41</v>
      </c>
      <c r="D34" s="5" t="s">
        <v>42</v>
      </c>
      <c r="E34" s="6">
        <v>15</v>
      </c>
      <c r="F34" s="6" t="s">
        <v>35</v>
      </c>
      <c r="G34" s="6" t="s">
        <v>39</v>
      </c>
      <c r="H34" s="6">
        <v>73.7</v>
      </c>
      <c r="I34" s="6">
        <v>51.8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>
        <v>2582</v>
      </c>
      <c r="AF34" s="4">
        <v>118</v>
      </c>
      <c r="AG34" s="4">
        <v>118</v>
      </c>
      <c r="AH34" s="14" t="s">
        <v>517</v>
      </c>
    </row>
    <row r="35" spans="1:34" ht="13" x14ac:dyDescent="0.3">
      <c r="A35" s="4" t="s">
        <v>33</v>
      </c>
      <c r="B35" s="4">
        <v>200</v>
      </c>
      <c r="C35" s="4" t="s">
        <v>43</v>
      </c>
      <c r="D35" s="5" t="s">
        <v>42</v>
      </c>
      <c r="E35" s="6">
        <v>15</v>
      </c>
      <c r="F35" s="6" t="s">
        <v>35</v>
      </c>
      <c r="G35" s="6" t="s">
        <v>40</v>
      </c>
      <c r="H35" s="6">
        <v>57.5</v>
      </c>
      <c r="I35" s="6">
        <v>42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>
        <v>1996</v>
      </c>
      <c r="AF35" s="4">
        <v>68</v>
      </c>
      <c r="AG35" s="4">
        <v>4</v>
      </c>
    </row>
    <row r="36" spans="1:34" ht="13" x14ac:dyDescent="0.3">
      <c r="A36" s="4" t="s">
        <v>33</v>
      </c>
      <c r="B36" s="4">
        <v>201</v>
      </c>
      <c r="C36" s="4" t="s">
        <v>43</v>
      </c>
      <c r="D36" s="5" t="s">
        <v>42</v>
      </c>
      <c r="E36" s="6">
        <v>15</v>
      </c>
      <c r="F36" s="6" t="s">
        <v>35</v>
      </c>
      <c r="G36" s="6" t="s">
        <v>40</v>
      </c>
      <c r="H36" s="6">
        <v>72</v>
      </c>
      <c r="I36" s="6">
        <v>49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>
        <v>2714</v>
      </c>
      <c r="AF36" s="4">
        <v>170</v>
      </c>
      <c r="AG36" s="4">
        <v>32</v>
      </c>
    </row>
    <row r="37" spans="1:34" ht="13" x14ac:dyDescent="0.3">
      <c r="A37" s="4" t="s">
        <v>33</v>
      </c>
      <c r="B37" s="4">
        <v>202</v>
      </c>
      <c r="C37" s="4" t="s">
        <v>43</v>
      </c>
      <c r="D37" s="5" t="s">
        <v>42</v>
      </c>
      <c r="E37" s="6">
        <v>15</v>
      </c>
      <c r="F37" s="6" t="s">
        <v>35</v>
      </c>
      <c r="G37" s="6" t="s">
        <v>39</v>
      </c>
      <c r="H37" s="6">
        <v>55.2</v>
      </c>
      <c r="I37" s="6">
        <v>35.4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>
        <v>910</v>
      </c>
      <c r="AF37" s="4"/>
      <c r="AG37" s="4"/>
      <c r="AH37" s="14" t="s">
        <v>514</v>
      </c>
    </row>
    <row r="38" spans="1:34" ht="13" x14ac:dyDescent="0.3">
      <c r="A38" s="4" t="s">
        <v>33</v>
      </c>
      <c r="B38" s="4">
        <v>203</v>
      </c>
      <c r="C38" s="4" t="s">
        <v>43</v>
      </c>
      <c r="D38" s="5" t="s">
        <v>42</v>
      </c>
      <c r="E38" s="6">
        <v>15</v>
      </c>
      <c r="F38" s="6" t="s">
        <v>35</v>
      </c>
      <c r="G38" s="6" t="s">
        <v>40</v>
      </c>
      <c r="H38" s="6">
        <v>60</v>
      </c>
      <c r="I38" s="6">
        <v>39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>
        <v>1232</v>
      </c>
      <c r="AF38" s="4">
        <v>70</v>
      </c>
      <c r="AG38" s="4"/>
      <c r="AH38" s="14" t="s">
        <v>518</v>
      </c>
    </row>
    <row r="39" spans="1:34" ht="13" x14ac:dyDescent="0.3">
      <c r="A39" s="4" t="s">
        <v>33</v>
      </c>
      <c r="B39" s="4">
        <v>205</v>
      </c>
      <c r="C39" s="4" t="s">
        <v>43</v>
      </c>
      <c r="D39" s="5" t="s">
        <v>42</v>
      </c>
      <c r="E39" s="6">
        <v>15</v>
      </c>
      <c r="F39" s="6" t="s">
        <v>35</v>
      </c>
      <c r="G39" s="6" t="s">
        <v>40</v>
      </c>
      <c r="H39" s="6">
        <v>79.400000000000006</v>
      </c>
      <c r="I39" s="6">
        <v>50.6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>
        <v>2716</v>
      </c>
      <c r="AF39" s="4">
        <v>164</v>
      </c>
      <c r="AG39" s="4">
        <v>32</v>
      </c>
      <c r="AH39" s="14" t="s">
        <v>517</v>
      </c>
    </row>
    <row r="40" spans="1:34" ht="13" x14ac:dyDescent="0.3">
      <c r="A40" s="4" t="s">
        <v>33</v>
      </c>
      <c r="B40" s="4">
        <v>208</v>
      </c>
      <c r="C40" s="4" t="s">
        <v>43</v>
      </c>
      <c r="D40" s="5" t="s">
        <v>42</v>
      </c>
      <c r="E40" s="6">
        <v>15</v>
      </c>
      <c r="F40" s="6" t="s">
        <v>35</v>
      </c>
      <c r="G40" s="6" t="s">
        <v>39</v>
      </c>
      <c r="H40" s="6">
        <v>69.7</v>
      </c>
      <c r="I40" s="6">
        <v>51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>
        <v>2052</v>
      </c>
      <c r="AF40" s="4">
        <v>122</v>
      </c>
      <c r="AG40" s="4">
        <v>46</v>
      </c>
    </row>
    <row r="41" spans="1:34" ht="13" x14ac:dyDescent="0.3">
      <c r="A41" s="4" t="s">
        <v>33</v>
      </c>
      <c r="B41" s="4">
        <v>210</v>
      </c>
      <c r="C41" s="4" t="s">
        <v>43</v>
      </c>
      <c r="D41" s="5" t="s">
        <v>42</v>
      </c>
      <c r="E41" s="6">
        <v>15</v>
      </c>
      <c r="F41" s="6" t="s">
        <v>35</v>
      </c>
      <c r="G41" s="6" t="s">
        <v>40</v>
      </c>
      <c r="H41" s="6">
        <v>62.5</v>
      </c>
      <c r="I41" s="6">
        <v>45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>
        <v>2372</v>
      </c>
      <c r="AF41" s="4"/>
      <c r="AG41" s="4"/>
      <c r="AH41" s="14" t="s">
        <v>520</v>
      </c>
    </row>
    <row r="42" spans="1:34" ht="13" x14ac:dyDescent="0.3">
      <c r="A42" s="4" t="s">
        <v>33</v>
      </c>
      <c r="B42" s="4">
        <v>211</v>
      </c>
      <c r="C42" s="4" t="s">
        <v>43</v>
      </c>
      <c r="D42" s="5" t="s">
        <v>42</v>
      </c>
      <c r="E42" s="6">
        <v>15</v>
      </c>
      <c r="F42" s="6" t="s">
        <v>35</v>
      </c>
      <c r="G42" s="6" t="s">
        <v>39</v>
      </c>
      <c r="H42" s="6">
        <v>88</v>
      </c>
      <c r="I42" s="6">
        <v>63.5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>
        <v>4872</v>
      </c>
      <c r="AF42" s="4">
        <v>256</v>
      </c>
      <c r="AG42" s="4">
        <v>270</v>
      </c>
    </row>
    <row r="43" spans="1:34" ht="13" x14ac:dyDescent="0.3">
      <c r="A43" s="4" t="s">
        <v>33</v>
      </c>
      <c r="B43" s="4">
        <v>214</v>
      </c>
      <c r="C43" s="4" t="s">
        <v>43</v>
      </c>
      <c r="D43" s="5" t="s">
        <v>42</v>
      </c>
      <c r="E43" s="6">
        <v>15</v>
      </c>
      <c r="F43" s="6" t="s">
        <v>35</v>
      </c>
      <c r="G43" s="6" t="s">
        <v>39</v>
      </c>
      <c r="H43" s="6">
        <v>82</v>
      </c>
      <c r="I43" s="6">
        <v>58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>
        <v>3126</v>
      </c>
      <c r="AF43" s="4"/>
      <c r="AG43" s="4"/>
      <c r="AH43" s="14" t="s">
        <v>517</v>
      </c>
    </row>
    <row r="44" spans="1:34" ht="13" x14ac:dyDescent="0.3">
      <c r="A44" s="4" t="s">
        <v>33</v>
      </c>
      <c r="B44" s="4">
        <v>215</v>
      </c>
      <c r="C44" s="4" t="s">
        <v>43</v>
      </c>
      <c r="D44" s="5" t="s">
        <v>42</v>
      </c>
      <c r="E44" s="6">
        <v>15</v>
      </c>
      <c r="F44" s="6" t="s">
        <v>35</v>
      </c>
      <c r="G44" s="6" t="s">
        <v>39</v>
      </c>
      <c r="H44" s="6">
        <v>71.5</v>
      </c>
      <c r="I44" s="6">
        <v>58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>
        <v>2702</v>
      </c>
      <c r="AF44" s="4">
        <v>170</v>
      </c>
      <c r="AG44" s="4"/>
    </row>
    <row r="45" spans="1:34" ht="13" x14ac:dyDescent="0.3">
      <c r="A45" s="4" t="s">
        <v>33</v>
      </c>
      <c r="B45" s="4">
        <v>216</v>
      </c>
      <c r="C45" s="4" t="s">
        <v>43</v>
      </c>
      <c r="D45" s="5" t="s">
        <v>42</v>
      </c>
      <c r="E45" s="6">
        <v>15</v>
      </c>
      <c r="F45" s="6" t="s">
        <v>35</v>
      </c>
      <c r="G45" s="6" t="s">
        <v>39</v>
      </c>
      <c r="H45" s="6">
        <v>80.2</v>
      </c>
      <c r="I45" s="6">
        <v>54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>
        <v>2848</v>
      </c>
      <c r="AF45" s="4">
        <v>126</v>
      </c>
      <c r="AG45" s="4">
        <v>250</v>
      </c>
      <c r="AH45" t="s">
        <v>517</v>
      </c>
    </row>
    <row r="46" spans="1:34" ht="13" x14ac:dyDescent="0.3">
      <c r="A46" s="4" t="s">
        <v>33</v>
      </c>
      <c r="B46" s="4">
        <v>217</v>
      </c>
      <c r="C46" s="4" t="s">
        <v>43</v>
      </c>
      <c r="D46" s="5" t="s">
        <v>42</v>
      </c>
      <c r="E46" s="6">
        <v>15</v>
      </c>
      <c r="F46" s="6" t="s">
        <v>35</v>
      </c>
      <c r="G46" s="6" t="s">
        <v>40</v>
      </c>
      <c r="H46" s="6">
        <v>66</v>
      </c>
      <c r="I46" s="6">
        <v>43.8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>
        <v>1856</v>
      </c>
      <c r="AF46" s="4">
        <v>98</v>
      </c>
      <c r="AG46" s="4">
        <v>20</v>
      </c>
    </row>
    <row r="47" spans="1:34" ht="13" x14ac:dyDescent="0.3">
      <c r="A47" s="4" t="s">
        <v>33</v>
      </c>
      <c r="B47" s="4">
        <v>218</v>
      </c>
      <c r="C47" s="4" t="s">
        <v>43</v>
      </c>
      <c r="D47" s="5" t="s">
        <v>42</v>
      </c>
      <c r="E47" s="6">
        <v>15</v>
      </c>
      <c r="F47" s="6" t="s">
        <v>35</v>
      </c>
      <c r="G47" s="6" t="s">
        <v>39</v>
      </c>
      <c r="H47" s="6">
        <v>74.5</v>
      </c>
      <c r="I47" s="6">
        <v>50.5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>
        <v>2024</v>
      </c>
      <c r="AF47" s="4">
        <v>134</v>
      </c>
      <c r="AG47" s="4"/>
      <c r="AH47" s="14" t="s">
        <v>521</v>
      </c>
    </row>
    <row r="48" spans="1:34" ht="13" x14ac:dyDescent="0.3">
      <c r="A48" s="4" t="s">
        <v>33</v>
      </c>
      <c r="B48" s="4">
        <v>221</v>
      </c>
      <c r="C48" s="4" t="s">
        <v>43</v>
      </c>
      <c r="D48" s="5" t="s">
        <v>42</v>
      </c>
      <c r="E48" s="6">
        <v>15</v>
      </c>
      <c r="F48" s="6" t="s">
        <v>35</v>
      </c>
      <c r="G48" s="6" t="s">
        <v>40</v>
      </c>
      <c r="H48" s="6">
        <v>64.5</v>
      </c>
      <c r="I48" s="6">
        <v>40.799999999999997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>
        <v>1258</v>
      </c>
      <c r="AF48" s="4">
        <v>74</v>
      </c>
      <c r="AG48" s="4"/>
      <c r="AH48" t="s">
        <v>521</v>
      </c>
    </row>
    <row r="49" spans="1:34" ht="13" x14ac:dyDescent="0.3">
      <c r="A49" s="4" t="s">
        <v>33</v>
      </c>
      <c r="B49" s="4">
        <v>225</v>
      </c>
      <c r="C49" s="4" t="s">
        <v>43</v>
      </c>
      <c r="D49" s="5" t="s">
        <v>42</v>
      </c>
      <c r="E49" s="6">
        <v>15</v>
      </c>
      <c r="F49" s="6" t="s">
        <v>35</v>
      </c>
      <c r="G49" s="6" t="s">
        <v>40</v>
      </c>
      <c r="H49" s="6">
        <v>55.5</v>
      </c>
      <c r="I49" s="6">
        <v>32.6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4" ht="13" x14ac:dyDescent="0.3">
      <c r="A50" s="4" t="s">
        <v>33</v>
      </c>
      <c r="B50" s="4">
        <v>226</v>
      </c>
      <c r="C50" s="4" t="s">
        <v>43</v>
      </c>
      <c r="D50" s="5" t="s">
        <v>42</v>
      </c>
      <c r="E50" s="6">
        <v>15</v>
      </c>
      <c r="F50" s="6" t="s">
        <v>35</v>
      </c>
      <c r="G50" s="6" t="s">
        <v>40</v>
      </c>
      <c r="H50" s="6">
        <v>68</v>
      </c>
      <c r="I50" s="6">
        <v>43.6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>
        <v>1771</v>
      </c>
      <c r="AF50" s="4">
        <v>100</v>
      </c>
      <c r="AG50" s="4">
        <v>16</v>
      </c>
      <c r="AH50" t="s">
        <v>516</v>
      </c>
    </row>
    <row r="51" spans="1:34" ht="13" x14ac:dyDescent="0.3">
      <c r="A51" s="4" t="s">
        <v>33</v>
      </c>
      <c r="B51" s="4">
        <v>227</v>
      </c>
      <c r="C51" s="4" t="s">
        <v>43</v>
      </c>
      <c r="D51" s="5" t="s">
        <v>42</v>
      </c>
      <c r="E51" s="6">
        <v>15</v>
      </c>
      <c r="F51" s="6" t="s">
        <v>35</v>
      </c>
      <c r="G51" s="6" t="s">
        <v>40</v>
      </c>
      <c r="H51" s="6">
        <v>75.5</v>
      </c>
      <c r="I51" s="6">
        <v>49.8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>
        <v>2218</v>
      </c>
      <c r="AF51" s="4">
        <v>122</v>
      </c>
      <c r="AG51" s="4">
        <v>10</v>
      </c>
      <c r="AH51" s="14" t="s">
        <v>522</v>
      </c>
    </row>
    <row r="52" spans="1:34" ht="13" x14ac:dyDescent="0.3">
      <c r="A52" s="4" t="s">
        <v>33</v>
      </c>
      <c r="B52" s="4">
        <v>229</v>
      </c>
      <c r="C52" s="4" t="s">
        <v>43</v>
      </c>
      <c r="D52" s="5" t="s">
        <v>42</v>
      </c>
      <c r="E52" s="6">
        <v>15</v>
      </c>
      <c r="F52" s="6" t="s">
        <v>35</v>
      </c>
      <c r="G52" s="6" t="s">
        <v>40</v>
      </c>
      <c r="H52" s="6">
        <v>61.3</v>
      </c>
      <c r="I52" s="6">
        <v>39.700000000000003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>
        <v>976</v>
      </c>
      <c r="AF52" s="4">
        <v>56</v>
      </c>
      <c r="AG52" s="4"/>
      <c r="AH52" s="14" t="s">
        <v>523</v>
      </c>
    </row>
    <row r="53" spans="1:34" ht="13" x14ac:dyDescent="0.3">
      <c r="A53" s="4" t="s">
        <v>33</v>
      </c>
      <c r="B53" s="4">
        <v>233</v>
      </c>
      <c r="C53" s="4" t="s">
        <v>43</v>
      </c>
      <c r="D53" s="5" t="s">
        <v>42</v>
      </c>
      <c r="E53" s="6">
        <v>15</v>
      </c>
      <c r="F53" s="6" t="s">
        <v>35</v>
      </c>
      <c r="G53" s="6" t="s">
        <v>40</v>
      </c>
      <c r="H53" s="6">
        <v>74.400000000000006</v>
      </c>
      <c r="I53" s="6">
        <v>47.5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>
        <v>1870</v>
      </c>
      <c r="AF53" s="4">
        <v>106</v>
      </c>
      <c r="AG53" s="4">
        <v>20</v>
      </c>
    </row>
    <row r="54" spans="1:34" ht="13" x14ac:dyDescent="0.3">
      <c r="A54" s="4" t="s">
        <v>33</v>
      </c>
      <c r="B54" s="4">
        <v>235</v>
      </c>
      <c r="C54" s="4" t="s">
        <v>43</v>
      </c>
      <c r="D54" s="5" t="s">
        <v>42</v>
      </c>
      <c r="E54" s="6">
        <v>15</v>
      </c>
      <c r="F54" s="6" t="s">
        <v>35</v>
      </c>
      <c r="G54" s="6" t="s">
        <v>40</v>
      </c>
      <c r="H54" s="6">
        <v>73</v>
      </c>
      <c r="I54" s="6">
        <v>50.3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>
        <v>2088</v>
      </c>
      <c r="AF54" s="4">
        <v>96</v>
      </c>
      <c r="AG54" s="4">
        <v>8</v>
      </c>
    </row>
    <row r="55" spans="1:34" ht="13" x14ac:dyDescent="0.3">
      <c r="A55" s="4" t="s">
        <v>33</v>
      </c>
      <c r="B55" s="4">
        <v>238</v>
      </c>
      <c r="C55" s="4" t="s">
        <v>43</v>
      </c>
      <c r="D55" s="5" t="s">
        <v>42</v>
      </c>
      <c r="E55" s="6">
        <v>15</v>
      </c>
      <c r="F55" s="6" t="s">
        <v>35</v>
      </c>
      <c r="G55" s="6" t="s">
        <v>40</v>
      </c>
      <c r="H55" s="6">
        <v>72</v>
      </c>
      <c r="I55" s="6">
        <v>47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2082</v>
      </c>
      <c r="AF55" s="4">
        <v>116</v>
      </c>
      <c r="AG55" s="4">
        <v>16</v>
      </c>
      <c r="AH55" s="14" t="s">
        <v>516</v>
      </c>
    </row>
    <row r="56" spans="1:34" ht="13" x14ac:dyDescent="0.3">
      <c r="A56" s="4" t="s">
        <v>33</v>
      </c>
      <c r="B56" s="4">
        <v>239</v>
      </c>
      <c r="C56" s="4" t="s">
        <v>43</v>
      </c>
      <c r="D56" s="5" t="s">
        <v>42</v>
      </c>
      <c r="E56" s="6">
        <v>15</v>
      </c>
      <c r="F56" s="6" t="s">
        <v>35</v>
      </c>
      <c r="G56" s="6" t="s">
        <v>40</v>
      </c>
      <c r="H56" s="6">
        <v>77</v>
      </c>
      <c r="I56" s="6">
        <v>47.4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>
        <v>2195</v>
      </c>
      <c r="AF56" s="4">
        <v>104</v>
      </c>
      <c r="AG56" s="4">
        <v>24</v>
      </c>
    </row>
    <row r="57" spans="1:34" ht="13" x14ac:dyDescent="0.3">
      <c r="A57" s="4" t="s">
        <v>33</v>
      </c>
      <c r="B57" s="4">
        <v>240</v>
      </c>
      <c r="C57" s="4" t="s">
        <v>43</v>
      </c>
      <c r="D57" s="5" t="s">
        <v>42</v>
      </c>
      <c r="E57" s="6">
        <v>15</v>
      </c>
      <c r="F57" s="6" t="s">
        <v>35</v>
      </c>
      <c r="G57" s="6" t="s">
        <v>39</v>
      </c>
      <c r="H57" s="6">
        <v>78.400000000000006</v>
      </c>
      <c r="I57" s="6">
        <v>52.2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>
        <v>2640</v>
      </c>
      <c r="AF57" s="4"/>
      <c r="AG57" s="4"/>
      <c r="AH57" s="14" t="s">
        <v>525</v>
      </c>
    </row>
    <row r="58" spans="1:34" ht="13" x14ac:dyDescent="0.3">
      <c r="A58" s="4" t="s">
        <v>33</v>
      </c>
      <c r="B58" s="4">
        <v>242</v>
      </c>
      <c r="C58" s="4" t="s">
        <v>43</v>
      </c>
      <c r="D58" s="5" t="s">
        <v>42</v>
      </c>
      <c r="E58" s="6">
        <v>15</v>
      </c>
      <c r="F58" s="6" t="s">
        <v>35</v>
      </c>
      <c r="G58" s="6" t="s">
        <v>40</v>
      </c>
      <c r="H58" s="6">
        <v>71.599999999999994</v>
      </c>
      <c r="I58" s="6">
        <v>50.1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>
        <v>2100</v>
      </c>
      <c r="AF58" s="4">
        <v>124</v>
      </c>
      <c r="AG58" s="4">
        <v>20</v>
      </c>
    </row>
    <row r="59" spans="1:34" ht="13" x14ac:dyDescent="0.3">
      <c r="A59" s="4" t="s">
        <v>33</v>
      </c>
      <c r="B59" s="4">
        <v>243</v>
      </c>
      <c r="C59" s="4" t="s">
        <v>43</v>
      </c>
      <c r="D59" s="5" t="s">
        <v>42</v>
      </c>
      <c r="E59" s="6">
        <v>15</v>
      </c>
      <c r="F59" s="6" t="s">
        <v>35</v>
      </c>
      <c r="G59" s="6" t="s">
        <v>40</v>
      </c>
      <c r="H59" s="6">
        <v>55.2</v>
      </c>
      <c r="I59" s="6">
        <v>36.700000000000003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>
        <v>858</v>
      </c>
      <c r="AF59" s="4"/>
      <c r="AG59" s="4"/>
      <c r="AH59" s="14" t="s">
        <v>517</v>
      </c>
    </row>
    <row r="60" spans="1:34" ht="13" x14ac:dyDescent="0.3">
      <c r="A60" s="4" t="s">
        <v>33</v>
      </c>
      <c r="B60" s="4">
        <v>244</v>
      </c>
      <c r="C60" s="4" t="s">
        <v>43</v>
      </c>
      <c r="D60" s="5" t="s">
        <v>42</v>
      </c>
      <c r="E60" s="6">
        <v>15</v>
      </c>
      <c r="F60" s="6" t="s">
        <v>35</v>
      </c>
      <c r="G60" s="6" t="s">
        <v>39</v>
      </c>
      <c r="H60" s="6">
        <v>81.2</v>
      </c>
      <c r="I60" s="6">
        <v>53.7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3260</v>
      </c>
      <c r="AF60" s="4">
        <v>218</v>
      </c>
      <c r="AG60" s="4"/>
    </row>
    <row r="61" spans="1:34" ht="13" x14ac:dyDescent="0.3">
      <c r="A61" s="4" t="s">
        <v>33</v>
      </c>
      <c r="B61" s="4">
        <v>247</v>
      </c>
      <c r="C61" s="4" t="s">
        <v>43</v>
      </c>
      <c r="D61" s="5" t="s">
        <v>42</v>
      </c>
      <c r="E61" s="6">
        <v>15</v>
      </c>
      <c r="F61" s="6" t="s">
        <v>35</v>
      </c>
      <c r="G61" s="6" t="s">
        <v>40</v>
      </c>
      <c r="H61" s="6">
        <v>66.900000000000006</v>
      </c>
      <c r="I61" s="6">
        <v>42.7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>
        <v>1438</v>
      </c>
      <c r="AF61" s="4">
        <v>90</v>
      </c>
      <c r="AG61" s="4">
        <v>4</v>
      </c>
      <c r="AH61" s="14" t="s">
        <v>517</v>
      </c>
    </row>
    <row r="62" spans="1:34" ht="13" x14ac:dyDescent="0.3">
      <c r="A62" s="4" t="s">
        <v>33</v>
      </c>
      <c r="B62" s="4">
        <v>249</v>
      </c>
      <c r="C62" s="4" t="s">
        <v>43</v>
      </c>
      <c r="D62" s="5" t="s">
        <v>42</v>
      </c>
      <c r="E62" s="6">
        <v>15</v>
      </c>
      <c r="F62" s="6" t="s">
        <v>35</v>
      </c>
      <c r="G62" s="6" t="s">
        <v>40</v>
      </c>
      <c r="H62" s="6">
        <v>67.099999999999994</v>
      </c>
      <c r="I62" s="6">
        <v>45.1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>
        <v>1758</v>
      </c>
      <c r="AF62" s="4"/>
      <c r="AG62" s="4"/>
    </row>
    <row r="63" spans="1:34" ht="13" x14ac:dyDescent="0.3">
      <c r="A63" s="4" t="s">
        <v>33</v>
      </c>
      <c r="B63" s="4">
        <v>250</v>
      </c>
      <c r="C63" s="4" t="s">
        <v>43</v>
      </c>
      <c r="D63" s="5" t="s">
        <v>42</v>
      </c>
      <c r="E63" s="6">
        <v>15</v>
      </c>
      <c r="F63" s="6" t="s">
        <v>35</v>
      </c>
      <c r="G63" s="6" t="s">
        <v>39</v>
      </c>
      <c r="H63" s="6">
        <v>71.8</v>
      </c>
      <c r="I63" s="6">
        <v>46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>
        <v>1708</v>
      </c>
      <c r="AF63" s="4">
        <v>88</v>
      </c>
      <c r="AG63" s="4"/>
      <c r="AH63" s="14" t="s">
        <v>532</v>
      </c>
    </row>
    <row r="64" spans="1:34" ht="13" x14ac:dyDescent="0.3">
      <c r="A64" s="4" t="s">
        <v>33</v>
      </c>
      <c r="B64" s="4">
        <v>253</v>
      </c>
      <c r="C64" s="4" t="s">
        <v>43</v>
      </c>
      <c r="D64" s="5" t="s">
        <v>42</v>
      </c>
      <c r="E64" s="6">
        <v>15</v>
      </c>
      <c r="F64" s="6" t="s">
        <v>35</v>
      </c>
      <c r="G64" s="6" t="s">
        <v>39</v>
      </c>
      <c r="H64" s="6">
        <v>73.7</v>
      </c>
      <c r="I64" s="6">
        <v>47.6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>
        <v>2368</v>
      </c>
      <c r="AF64" s="4">
        <v>144</v>
      </c>
      <c r="AG64" s="4">
        <v>20</v>
      </c>
      <c r="AH64" s="14" t="s">
        <v>533</v>
      </c>
    </row>
    <row r="65" spans="1:34" ht="13" x14ac:dyDescent="0.3">
      <c r="A65" s="4" t="s">
        <v>33</v>
      </c>
      <c r="B65" s="4">
        <v>254</v>
      </c>
      <c r="C65" s="4" t="s">
        <v>43</v>
      </c>
      <c r="D65" s="5" t="s">
        <v>42</v>
      </c>
      <c r="E65" s="6">
        <v>15</v>
      </c>
      <c r="F65" s="6" t="s">
        <v>35</v>
      </c>
      <c r="G65" s="6" t="s">
        <v>40</v>
      </c>
      <c r="H65" s="6">
        <v>49.1</v>
      </c>
      <c r="I65" s="6">
        <v>40.200000000000003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>
        <v>1356</v>
      </c>
      <c r="AF65" s="4">
        <v>80</v>
      </c>
      <c r="AG65" s="4">
        <v>14</v>
      </c>
      <c r="AH65" s="14" t="s">
        <v>534</v>
      </c>
    </row>
    <row r="66" spans="1:34" ht="13" x14ac:dyDescent="0.3">
      <c r="A66" s="4" t="s">
        <v>33</v>
      </c>
      <c r="B66" s="4">
        <v>256</v>
      </c>
      <c r="C66" s="4" t="s">
        <v>43</v>
      </c>
      <c r="D66" s="5" t="s">
        <v>42</v>
      </c>
      <c r="E66" s="6">
        <v>15</v>
      </c>
      <c r="F66" s="6" t="s">
        <v>35</v>
      </c>
      <c r="G66" s="6" t="s">
        <v>39</v>
      </c>
      <c r="H66" s="6">
        <v>85.11</v>
      </c>
      <c r="I66" s="6">
        <v>59.2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>
        <v>3138</v>
      </c>
      <c r="AF66" s="4">
        <v>182</v>
      </c>
      <c r="AG66" s="4">
        <v>176</v>
      </c>
    </row>
    <row r="67" spans="1:34" ht="13" x14ac:dyDescent="0.3">
      <c r="A67" s="4" t="s">
        <v>33</v>
      </c>
      <c r="B67" s="4">
        <v>257</v>
      </c>
      <c r="C67" s="4" t="s">
        <v>43</v>
      </c>
      <c r="D67" s="5" t="s">
        <v>42</v>
      </c>
      <c r="E67" s="6">
        <v>15</v>
      </c>
      <c r="F67" s="6" t="s">
        <v>35</v>
      </c>
      <c r="G67" s="6" t="s">
        <v>40</v>
      </c>
      <c r="H67" s="6">
        <v>74.2</v>
      </c>
      <c r="I67" s="6">
        <v>47.5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>
        <v>2174</v>
      </c>
      <c r="AF67" s="4">
        <v>160</v>
      </c>
      <c r="AG67" s="4">
        <v>30</v>
      </c>
      <c r="AH67" s="14" t="s">
        <v>517</v>
      </c>
    </row>
    <row r="68" spans="1:34" ht="13" x14ac:dyDescent="0.3">
      <c r="A68" s="4" t="s">
        <v>33</v>
      </c>
      <c r="B68" s="4">
        <v>258</v>
      </c>
      <c r="C68" s="4" t="s">
        <v>43</v>
      </c>
      <c r="D68" s="5" t="s">
        <v>42</v>
      </c>
      <c r="E68" s="6">
        <v>15</v>
      </c>
      <c r="F68" s="6" t="s">
        <v>35</v>
      </c>
      <c r="G68" s="6" t="s">
        <v>40</v>
      </c>
      <c r="H68" s="6">
        <v>61.1</v>
      </c>
      <c r="I68" s="6">
        <v>38.5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>
        <v>1058</v>
      </c>
      <c r="AF68" s="4">
        <v>52</v>
      </c>
      <c r="AG68" s="4">
        <v>2</v>
      </c>
    </row>
    <row r="69" spans="1:34" ht="13" x14ac:dyDescent="0.3">
      <c r="A69" s="4" t="s">
        <v>33</v>
      </c>
      <c r="B69" s="4">
        <v>261</v>
      </c>
      <c r="C69" s="4" t="s">
        <v>43</v>
      </c>
      <c r="D69" s="5" t="s">
        <v>42</v>
      </c>
      <c r="E69" s="6">
        <v>15</v>
      </c>
      <c r="F69" s="6" t="s">
        <v>35</v>
      </c>
      <c r="G69" s="6" t="s">
        <v>39</v>
      </c>
      <c r="H69" s="6">
        <v>76.5</v>
      </c>
      <c r="I69" s="6">
        <v>45.7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>
        <v>2110</v>
      </c>
      <c r="AF69" s="4">
        <v>150</v>
      </c>
      <c r="AG69" s="4">
        <v>20</v>
      </c>
    </row>
    <row r="70" spans="1:34" ht="13" x14ac:dyDescent="0.3">
      <c r="A70" s="4" t="s">
        <v>33</v>
      </c>
      <c r="B70" s="4">
        <v>263</v>
      </c>
      <c r="C70" s="4" t="s">
        <v>36</v>
      </c>
      <c r="D70" s="4" t="s">
        <v>42</v>
      </c>
      <c r="E70" s="6">
        <v>24</v>
      </c>
      <c r="F70" s="6" t="s">
        <v>35</v>
      </c>
      <c r="G70" s="6" t="s">
        <v>39</v>
      </c>
      <c r="H70" s="6">
        <v>87.5</v>
      </c>
      <c r="I70" s="6">
        <v>56.1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>
        <v>3848</v>
      </c>
      <c r="AF70" s="4"/>
      <c r="AG70" s="4"/>
      <c r="AH70" s="14" t="s">
        <v>517</v>
      </c>
    </row>
    <row r="71" spans="1:34" ht="13" x14ac:dyDescent="0.3">
      <c r="A71" s="4" t="s">
        <v>33</v>
      </c>
      <c r="B71" s="4">
        <v>266</v>
      </c>
      <c r="C71" s="4" t="s">
        <v>36</v>
      </c>
      <c r="D71" s="4" t="s">
        <v>42</v>
      </c>
      <c r="E71" s="6">
        <v>24</v>
      </c>
      <c r="F71" s="6" t="s">
        <v>35</v>
      </c>
      <c r="G71" s="6" t="s">
        <v>39</v>
      </c>
      <c r="H71" s="6">
        <v>72.599999999999994</v>
      </c>
      <c r="I71" s="6">
        <v>44.4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1574</v>
      </c>
      <c r="AF71" s="4"/>
      <c r="AG71" s="4"/>
      <c r="AH71" s="14" t="s">
        <v>536</v>
      </c>
    </row>
    <row r="72" spans="1:34" ht="13" x14ac:dyDescent="0.3">
      <c r="A72" s="4" t="s">
        <v>33</v>
      </c>
      <c r="B72" s="4">
        <v>270</v>
      </c>
      <c r="C72" s="4" t="s">
        <v>43</v>
      </c>
      <c r="D72" s="5" t="s">
        <v>42</v>
      </c>
      <c r="E72" s="6">
        <v>24</v>
      </c>
      <c r="F72" s="6" t="s">
        <v>35</v>
      </c>
      <c r="G72" s="6" t="s">
        <v>40</v>
      </c>
      <c r="H72" s="6">
        <v>68.5</v>
      </c>
      <c r="I72" s="6">
        <v>43.2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>
        <v>1566</v>
      </c>
      <c r="AF72" s="4">
        <v>90</v>
      </c>
      <c r="AG72" s="4">
        <v>4</v>
      </c>
    </row>
    <row r="73" spans="1:34" ht="13" x14ac:dyDescent="0.3">
      <c r="A73" s="4" t="s">
        <v>33</v>
      </c>
      <c r="B73" s="4">
        <v>273</v>
      </c>
      <c r="C73" s="4" t="s">
        <v>43</v>
      </c>
      <c r="D73" s="5" t="s">
        <v>42</v>
      </c>
      <c r="E73" s="6">
        <v>24</v>
      </c>
      <c r="F73" s="6" t="s">
        <v>35</v>
      </c>
      <c r="G73" s="6" t="s">
        <v>39</v>
      </c>
      <c r="H73" s="6">
        <v>87.5</v>
      </c>
      <c r="I73" s="6">
        <v>56.4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>
        <v>3724</v>
      </c>
      <c r="AF73" s="4">
        <v>238</v>
      </c>
      <c r="AG73" s="4">
        <v>244</v>
      </c>
    </row>
    <row r="74" spans="1:34" ht="13" x14ac:dyDescent="0.3">
      <c r="A74" s="4" t="s">
        <v>33</v>
      </c>
      <c r="B74" s="4">
        <v>295</v>
      </c>
      <c r="C74" s="4" t="s">
        <v>43</v>
      </c>
      <c r="D74" s="5" t="s">
        <v>42</v>
      </c>
      <c r="E74" s="6" t="s">
        <v>45</v>
      </c>
      <c r="F74" s="6" t="s">
        <v>35</v>
      </c>
      <c r="G74" s="6" t="s">
        <v>39</v>
      </c>
      <c r="H74" s="6">
        <v>86</v>
      </c>
      <c r="I74" s="6">
        <v>54.9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>
        <v>3648</v>
      </c>
      <c r="AF74" s="4">
        <v>148</v>
      </c>
      <c r="AG74" s="4"/>
    </row>
    <row r="75" spans="1:34" ht="13" x14ac:dyDescent="0.3">
      <c r="A75" s="4" t="s">
        <v>33</v>
      </c>
      <c r="B75" s="4">
        <v>298</v>
      </c>
      <c r="C75" s="4" t="s">
        <v>43</v>
      </c>
      <c r="D75" s="5" t="s">
        <v>42</v>
      </c>
      <c r="E75" s="6">
        <v>24</v>
      </c>
      <c r="F75" s="6" t="s">
        <v>35</v>
      </c>
      <c r="G75" s="6" t="s">
        <v>39</v>
      </c>
      <c r="H75" s="6">
        <v>76.400000000000006</v>
      </c>
      <c r="I75" s="6">
        <v>54.5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>
        <v>3270</v>
      </c>
      <c r="AF75" s="4">
        <v>142</v>
      </c>
      <c r="AG75" s="4"/>
      <c r="AH75" s="14" t="s">
        <v>517</v>
      </c>
    </row>
    <row r="76" spans="1:34" ht="13" x14ac:dyDescent="0.3">
      <c r="A76" s="4" t="s">
        <v>33</v>
      </c>
      <c r="B76" s="4">
        <v>302</v>
      </c>
      <c r="C76" s="4" t="s">
        <v>43</v>
      </c>
      <c r="D76" s="5" t="s">
        <v>42</v>
      </c>
      <c r="E76" s="6">
        <v>24</v>
      </c>
      <c r="F76" s="6" t="s">
        <v>35</v>
      </c>
      <c r="G76" s="6" t="s">
        <v>39</v>
      </c>
      <c r="H76" s="6">
        <v>83.3</v>
      </c>
      <c r="I76" s="6">
        <v>54.5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>
        <v>2760</v>
      </c>
      <c r="AF76" s="4">
        <v>142</v>
      </c>
      <c r="AG76" s="4"/>
      <c r="AH76" s="14" t="s">
        <v>517</v>
      </c>
    </row>
    <row r="77" spans="1:34" ht="13" x14ac:dyDescent="0.3">
      <c r="A77" s="4" t="s">
        <v>33</v>
      </c>
      <c r="B77" s="4">
        <v>303</v>
      </c>
      <c r="C77" s="4" t="s">
        <v>43</v>
      </c>
      <c r="D77" s="5" t="s">
        <v>42</v>
      </c>
      <c r="E77" s="6">
        <v>24</v>
      </c>
      <c r="F77" s="6" t="s">
        <v>35</v>
      </c>
      <c r="G77" s="6" t="s">
        <v>39</v>
      </c>
      <c r="H77" s="6">
        <v>77</v>
      </c>
      <c r="I77" s="6">
        <v>54.2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>
        <v>3018</v>
      </c>
      <c r="AF77" s="4">
        <v>172</v>
      </c>
      <c r="AG77" s="4"/>
    </row>
    <row r="78" spans="1:34" ht="13" x14ac:dyDescent="0.3">
      <c r="A78" s="4" t="s">
        <v>33</v>
      </c>
      <c r="B78" s="4">
        <v>306</v>
      </c>
      <c r="C78" s="4" t="s">
        <v>41</v>
      </c>
      <c r="D78" s="5" t="s">
        <v>42</v>
      </c>
      <c r="E78" s="6">
        <v>24</v>
      </c>
      <c r="F78" s="6" t="s">
        <v>35</v>
      </c>
      <c r="G78" s="6" t="s">
        <v>39</v>
      </c>
      <c r="H78" s="6">
        <v>85.2</v>
      </c>
      <c r="I78" s="6">
        <v>59.9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>
        <v>3454</v>
      </c>
      <c r="AF78" s="4">
        <v>130</v>
      </c>
      <c r="AG78" s="4"/>
    </row>
    <row r="79" spans="1:34" ht="13" x14ac:dyDescent="0.3">
      <c r="A79" s="4" t="s">
        <v>33</v>
      </c>
      <c r="B79" s="4">
        <v>313</v>
      </c>
      <c r="C79" s="4" t="s">
        <v>41</v>
      </c>
      <c r="D79" s="5" t="s">
        <v>42</v>
      </c>
      <c r="E79" s="6">
        <v>24</v>
      </c>
      <c r="F79" s="6" t="s">
        <v>35</v>
      </c>
      <c r="G79" s="6" t="s">
        <v>40</v>
      </c>
      <c r="H79" s="6">
        <v>70.3</v>
      </c>
      <c r="I79" s="6">
        <v>47.5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>
        <v>1750</v>
      </c>
      <c r="AF79" s="4">
        <v>90</v>
      </c>
      <c r="AG79" s="4"/>
      <c r="AH79" s="14" t="s">
        <v>517</v>
      </c>
    </row>
    <row r="80" spans="1:34" ht="13" x14ac:dyDescent="0.3">
      <c r="A80" s="4" t="s">
        <v>33</v>
      </c>
      <c r="B80" s="4">
        <v>314</v>
      </c>
      <c r="C80" s="4" t="s">
        <v>41</v>
      </c>
      <c r="D80" s="5" t="s">
        <v>42</v>
      </c>
      <c r="E80" s="6">
        <v>24</v>
      </c>
      <c r="F80" s="6" t="s">
        <v>35</v>
      </c>
      <c r="G80" s="6" t="s">
        <v>39</v>
      </c>
      <c r="H80" s="6">
        <v>74</v>
      </c>
      <c r="I80" s="6">
        <v>53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>
        <v>2332</v>
      </c>
      <c r="AF80" s="4">
        <v>138</v>
      </c>
      <c r="AG80" s="4"/>
      <c r="AH80" s="14" t="s">
        <v>539</v>
      </c>
    </row>
    <row r="81" spans="1:34" ht="13" x14ac:dyDescent="0.3">
      <c r="A81" s="4" t="s">
        <v>33</v>
      </c>
      <c r="B81" s="4">
        <v>316</v>
      </c>
      <c r="C81" s="4" t="s">
        <v>41</v>
      </c>
      <c r="D81" s="5" t="s">
        <v>42</v>
      </c>
      <c r="E81" s="6">
        <v>24</v>
      </c>
      <c r="F81" s="6" t="s">
        <v>35</v>
      </c>
      <c r="G81" s="6" t="s">
        <v>39</v>
      </c>
      <c r="H81" s="6">
        <v>78</v>
      </c>
      <c r="I81" s="6">
        <v>55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>
        <v>3190</v>
      </c>
      <c r="AF81" s="4">
        <v>148</v>
      </c>
      <c r="AG81" s="4"/>
      <c r="AH81" s="14" t="s">
        <v>537</v>
      </c>
    </row>
    <row r="82" spans="1:34" ht="13" x14ac:dyDescent="0.3">
      <c r="A82" s="4" t="s">
        <v>33</v>
      </c>
      <c r="B82" s="4">
        <v>320</v>
      </c>
      <c r="C82" s="4" t="s">
        <v>41</v>
      </c>
      <c r="D82" s="5" t="s">
        <v>42</v>
      </c>
      <c r="E82" s="6">
        <v>24</v>
      </c>
      <c r="F82" s="6" t="s">
        <v>35</v>
      </c>
      <c r="G82" s="6" t="s">
        <v>39</v>
      </c>
      <c r="H82" s="6">
        <v>80.599999999999994</v>
      </c>
      <c r="I82" s="6">
        <v>50.3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>
        <v>2548</v>
      </c>
      <c r="AF82" s="4">
        <v>166</v>
      </c>
      <c r="AG82" s="4"/>
    </row>
    <row r="83" spans="1:34" ht="13" x14ac:dyDescent="0.3">
      <c r="A83" s="4" t="s">
        <v>33</v>
      </c>
      <c r="B83" s="4">
        <v>326</v>
      </c>
      <c r="C83" s="4" t="s">
        <v>41</v>
      </c>
      <c r="D83" s="5" t="s">
        <v>42</v>
      </c>
      <c r="E83" s="6">
        <v>24</v>
      </c>
      <c r="F83" s="6" t="s">
        <v>35</v>
      </c>
      <c r="G83" s="6" t="s">
        <v>39</v>
      </c>
      <c r="H83" s="6">
        <v>82.4</v>
      </c>
      <c r="I83" s="6">
        <v>57.5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>
        <v>3430</v>
      </c>
      <c r="AF83" s="4">
        <v>150</v>
      </c>
      <c r="AG83" s="4"/>
      <c r="AH83" s="14" t="s">
        <v>517</v>
      </c>
    </row>
    <row r="84" spans="1:34" ht="13" x14ac:dyDescent="0.3">
      <c r="A84" s="4" t="s">
        <v>33</v>
      </c>
      <c r="B84" s="4">
        <v>329</v>
      </c>
      <c r="C84" s="4" t="s">
        <v>41</v>
      </c>
      <c r="D84" s="5" t="s">
        <v>42</v>
      </c>
      <c r="E84" s="6">
        <v>24</v>
      </c>
      <c r="F84" s="6" t="s">
        <v>35</v>
      </c>
      <c r="G84" s="6" t="s">
        <v>40</v>
      </c>
      <c r="H84" s="6">
        <v>41.5</v>
      </c>
      <c r="I84" s="6">
        <v>31.7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>
        <v>600</v>
      </c>
      <c r="AF84" s="4">
        <v>30</v>
      </c>
      <c r="AG84" s="4"/>
      <c r="AH84" s="14" t="s">
        <v>537</v>
      </c>
    </row>
    <row r="85" spans="1:34" ht="13" x14ac:dyDescent="0.3">
      <c r="A85" s="4" t="s">
        <v>33</v>
      </c>
      <c r="B85" s="4">
        <v>351</v>
      </c>
      <c r="C85" s="4" t="s">
        <v>46</v>
      </c>
      <c r="D85" s="5">
        <v>44256</v>
      </c>
      <c r="E85" s="6">
        <v>21.9</v>
      </c>
      <c r="F85" s="6" t="s">
        <v>35</v>
      </c>
      <c r="G85" s="6" t="s">
        <v>39</v>
      </c>
      <c r="H85" s="6">
        <v>85.4</v>
      </c>
      <c r="I85" s="6">
        <v>55.6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>
        <v>3260</v>
      </c>
      <c r="AF85" s="4">
        <v>122</v>
      </c>
      <c r="AG85" s="4">
        <v>224</v>
      </c>
    </row>
    <row r="86" spans="1:34" ht="13" x14ac:dyDescent="0.3">
      <c r="A86" s="4" t="s">
        <v>33</v>
      </c>
      <c r="B86" s="4">
        <v>358</v>
      </c>
      <c r="C86" s="4" t="s">
        <v>46</v>
      </c>
      <c r="D86" s="5">
        <v>44256</v>
      </c>
      <c r="E86" s="6">
        <v>21.9</v>
      </c>
      <c r="F86" s="6" t="s">
        <v>35</v>
      </c>
      <c r="G86" s="6" t="s">
        <v>39</v>
      </c>
      <c r="H86" s="6">
        <v>91.3</v>
      </c>
      <c r="I86" s="6">
        <v>62.5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>
        <v>3406</v>
      </c>
      <c r="AF86" s="4">
        <v>108</v>
      </c>
      <c r="AG86" s="4">
        <v>292</v>
      </c>
    </row>
    <row r="87" spans="1:34" ht="13" x14ac:dyDescent="0.3">
      <c r="A87" s="4" t="s">
        <v>33</v>
      </c>
      <c r="B87" s="4">
        <v>362</v>
      </c>
      <c r="C87" s="4" t="s">
        <v>46</v>
      </c>
      <c r="D87" s="5">
        <v>44256</v>
      </c>
      <c r="E87" s="6">
        <v>21.9</v>
      </c>
      <c r="F87" s="6" t="s">
        <v>35</v>
      </c>
      <c r="G87" s="6" t="s">
        <v>39</v>
      </c>
      <c r="H87" s="6">
        <v>80.8</v>
      </c>
      <c r="I87" s="6">
        <v>53.1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>
        <v>2342</v>
      </c>
      <c r="AF87" s="4">
        <v>172</v>
      </c>
      <c r="AG87" s="4">
        <v>44</v>
      </c>
    </row>
    <row r="88" spans="1:34" ht="13" x14ac:dyDescent="0.3">
      <c r="A88" s="4" t="s">
        <v>33</v>
      </c>
      <c r="B88" s="4">
        <v>366</v>
      </c>
      <c r="C88" s="4" t="s">
        <v>46</v>
      </c>
      <c r="D88" s="5">
        <v>44256</v>
      </c>
      <c r="E88" s="6">
        <v>21.9</v>
      </c>
      <c r="F88" s="6" t="s">
        <v>35</v>
      </c>
      <c r="G88" s="6" t="s">
        <v>40</v>
      </c>
      <c r="H88" s="6">
        <v>69.7</v>
      </c>
      <c r="I88" s="6">
        <v>43.9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>
        <v>1130</v>
      </c>
      <c r="AF88" s="4">
        <v>60</v>
      </c>
      <c r="AG88" s="4">
        <v>1</v>
      </c>
      <c r="AH88" s="14" t="s">
        <v>517</v>
      </c>
    </row>
    <row r="89" spans="1:34" ht="13" x14ac:dyDescent="0.3">
      <c r="A89" s="4" t="s">
        <v>33</v>
      </c>
      <c r="B89" s="4">
        <v>369</v>
      </c>
      <c r="C89" s="4" t="s">
        <v>46</v>
      </c>
      <c r="D89" s="5">
        <v>44256</v>
      </c>
      <c r="E89" s="6">
        <v>21.9</v>
      </c>
      <c r="F89" s="6" t="s">
        <v>35</v>
      </c>
      <c r="G89" s="6" t="s">
        <v>40</v>
      </c>
      <c r="H89" s="6">
        <v>83.3</v>
      </c>
      <c r="I89" s="6">
        <v>55.1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>
        <v>2436</v>
      </c>
      <c r="AF89" s="4">
        <v>142</v>
      </c>
      <c r="AG89" s="4">
        <v>32</v>
      </c>
    </row>
    <row r="90" spans="1:34" ht="13" x14ac:dyDescent="0.3">
      <c r="A90" s="4" t="s">
        <v>33</v>
      </c>
      <c r="B90" s="4">
        <v>370</v>
      </c>
      <c r="C90" s="4" t="s">
        <v>46</v>
      </c>
      <c r="D90" s="5">
        <v>44256</v>
      </c>
      <c r="E90" s="6">
        <v>21.9</v>
      </c>
      <c r="F90" s="6" t="s">
        <v>35</v>
      </c>
      <c r="G90" s="6" t="s">
        <v>40</v>
      </c>
      <c r="H90" s="6">
        <v>64.3</v>
      </c>
      <c r="I90" s="6">
        <v>47.3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>
        <v>1654</v>
      </c>
      <c r="AF90" s="4">
        <v>72</v>
      </c>
      <c r="AG90" s="4">
        <v>22</v>
      </c>
      <c r="AH90" s="14" t="s">
        <v>524</v>
      </c>
    </row>
    <row r="91" spans="1:34" ht="13" x14ac:dyDescent="0.3">
      <c r="A91" s="4" t="s">
        <v>33</v>
      </c>
      <c r="B91" s="4">
        <v>371</v>
      </c>
      <c r="C91" s="4" t="s">
        <v>46</v>
      </c>
      <c r="D91" s="5">
        <v>44256</v>
      </c>
      <c r="E91" s="6">
        <v>21.9</v>
      </c>
      <c r="F91" s="6" t="s">
        <v>35</v>
      </c>
      <c r="G91" s="6" t="s">
        <v>40</v>
      </c>
      <c r="H91" s="6">
        <v>51.4</v>
      </c>
      <c r="I91" s="6">
        <v>32.5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>
        <v>662</v>
      </c>
      <c r="AF91" s="4">
        <v>32</v>
      </c>
      <c r="AG91" s="4">
        <v>2</v>
      </c>
      <c r="AH91" s="14" t="s">
        <v>517</v>
      </c>
    </row>
    <row r="92" spans="1:34" ht="13" x14ac:dyDescent="0.3">
      <c r="A92" s="4" t="s">
        <v>33</v>
      </c>
      <c r="B92" s="4">
        <v>372</v>
      </c>
      <c r="C92" s="4" t="s">
        <v>46</v>
      </c>
      <c r="D92" s="5">
        <v>44256</v>
      </c>
      <c r="E92" s="6">
        <v>21.9</v>
      </c>
      <c r="F92" s="6" t="s">
        <v>35</v>
      </c>
      <c r="G92" s="6" t="s">
        <v>39</v>
      </c>
      <c r="H92" s="6">
        <v>71.400000000000006</v>
      </c>
      <c r="I92" s="6">
        <v>47.7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>
        <v>1658</v>
      </c>
      <c r="AF92" s="4">
        <v>94</v>
      </c>
      <c r="AG92" s="4">
        <v>42</v>
      </c>
    </row>
    <row r="93" spans="1:34" ht="13" x14ac:dyDescent="0.3">
      <c r="A93" s="4" t="s">
        <v>33</v>
      </c>
      <c r="B93" s="4">
        <v>375</v>
      </c>
      <c r="C93" s="4" t="s">
        <v>46</v>
      </c>
      <c r="D93" s="5">
        <v>44256</v>
      </c>
      <c r="E93" s="6">
        <v>21.9</v>
      </c>
      <c r="F93" s="6" t="s">
        <v>35</v>
      </c>
      <c r="G93" s="6" t="s">
        <v>39</v>
      </c>
      <c r="H93" s="6">
        <v>85.4</v>
      </c>
      <c r="I93" s="6">
        <v>55.9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>
        <v>2742</v>
      </c>
      <c r="AF93" s="4">
        <v>112</v>
      </c>
      <c r="AG93" s="4">
        <v>234</v>
      </c>
    </row>
    <row r="94" spans="1:34" ht="13" x14ac:dyDescent="0.3">
      <c r="A94" s="4" t="s">
        <v>33</v>
      </c>
      <c r="B94" s="4">
        <v>376</v>
      </c>
      <c r="C94" s="4" t="s">
        <v>46</v>
      </c>
      <c r="D94" s="5">
        <v>44256</v>
      </c>
      <c r="E94" s="6">
        <v>21.9</v>
      </c>
      <c r="F94" s="6" t="s">
        <v>35</v>
      </c>
      <c r="G94" s="6" t="s">
        <v>40</v>
      </c>
      <c r="H94" s="6">
        <v>68.599999999999994</v>
      </c>
      <c r="I94" s="6">
        <v>50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>
        <v>2028</v>
      </c>
      <c r="AF94" s="4">
        <v>136</v>
      </c>
      <c r="AG94" s="4">
        <v>38</v>
      </c>
    </row>
    <row r="95" spans="1:34" ht="13" x14ac:dyDescent="0.3">
      <c r="A95" s="4" t="s">
        <v>33</v>
      </c>
      <c r="B95" s="4">
        <v>378</v>
      </c>
      <c r="C95" s="4" t="s">
        <v>46</v>
      </c>
      <c r="D95" s="5">
        <v>44256</v>
      </c>
      <c r="E95" s="6">
        <v>21.9</v>
      </c>
      <c r="F95" s="6" t="s">
        <v>35</v>
      </c>
      <c r="G95" s="6" t="s">
        <v>39</v>
      </c>
      <c r="H95" s="6">
        <v>93.6</v>
      </c>
      <c r="I95" s="6">
        <v>63.3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>
        <v>3770</v>
      </c>
      <c r="AF95" s="4">
        <v>130</v>
      </c>
      <c r="AG95" s="4">
        <v>304</v>
      </c>
    </row>
    <row r="96" spans="1:34" ht="13" x14ac:dyDescent="0.3">
      <c r="A96" s="4" t="s">
        <v>33</v>
      </c>
      <c r="B96" s="4">
        <v>381</v>
      </c>
      <c r="C96" s="4" t="s">
        <v>46</v>
      </c>
      <c r="D96" s="5">
        <v>44256</v>
      </c>
      <c r="E96" s="6">
        <v>21.9</v>
      </c>
      <c r="F96" s="6" t="s">
        <v>35</v>
      </c>
      <c r="G96" s="6" t="s">
        <v>40</v>
      </c>
      <c r="H96" s="6">
        <v>74</v>
      </c>
      <c r="I96" s="6">
        <v>50.2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>
        <v>1908</v>
      </c>
      <c r="AF96" s="4">
        <v>116</v>
      </c>
      <c r="AG96" s="4">
        <v>20</v>
      </c>
    </row>
    <row r="97" spans="1:34" ht="13" x14ac:dyDescent="0.3">
      <c r="A97" s="4" t="s">
        <v>33</v>
      </c>
      <c r="B97" s="4">
        <v>384</v>
      </c>
      <c r="C97" s="4" t="s">
        <v>46</v>
      </c>
      <c r="D97" s="5">
        <v>44256</v>
      </c>
      <c r="E97" s="6">
        <v>21.9</v>
      </c>
      <c r="F97" s="6" t="s">
        <v>35</v>
      </c>
      <c r="G97" s="6" t="s">
        <v>39</v>
      </c>
      <c r="H97" s="6">
        <v>90</v>
      </c>
      <c r="I97" s="6">
        <v>61.5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>
        <v>3170</v>
      </c>
      <c r="AF97" s="4">
        <v>100</v>
      </c>
      <c r="AG97" s="4">
        <v>242</v>
      </c>
      <c r="AH97" s="14" t="s">
        <v>517</v>
      </c>
    </row>
    <row r="98" spans="1:34" ht="13" x14ac:dyDescent="0.3">
      <c r="A98" s="4" t="s">
        <v>33</v>
      </c>
      <c r="B98" s="4">
        <v>385</v>
      </c>
      <c r="C98" s="4" t="s">
        <v>46</v>
      </c>
      <c r="D98" s="5">
        <v>44256</v>
      </c>
      <c r="E98" s="6">
        <v>21.9</v>
      </c>
      <c r="F98" s="6" t="s">
        <v>35</v>
      </c>
      <c r="G98" s="6" t="s">
        <v>39</v>
      </c>
      <c r="H98" s="6">
        <v>85.7</v>
      </c>
      <c r="I98" s="6">
        <v>59.2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>
        <v>2836</v>
      </c>
      <c r="AF98" s="4">
        <v>106</v>
      </c>
      <c r="AG98" s="4">
        <v>214</v>
      </c>
      <c r="AH98" s="14" t="s">
        <v>517</v>
      </c>
    </row>
    <row r="99" spans="1:34" ht="13" x14ac:dyDescent="0.3">
      <c r="A99" s="4" t="s">
        <v>33</v>
      </c>
      <c r="B99" s="4">
        <v>390</v>
      </c>
      <c r="C99" s="4" t="s">
        <v>43</v>
      </c>
      <c r="D99" s="5">
        <v>44256</v>
      </c>
      <c r="E99" s="6">
        <v>21.9</v>
      </c>
      <c r="F99" s="6" t="s">
        <v>35</v>
      </c>
      <c r="G99" s="6" t="s">
        <v>39</v>
      </c>
      <c r="H99" s="6">
        <v>93.6</v>
      </c>
      <c r="I99" s="6">
        <v>61.3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>
        <v>4174</v>
      </c>
      <c r="AF99" s="4">
        <v>192</v>
      </c>
      <c r="AG99" s="4">
        <v>332</v>
      </c>
    </row>
    <row r="100" spans="1:34" ht="13" x14ac:dyDescent="0.3">
      <c r="A100" s="4" t="s">
        <v>33</v>
      </c>
      <c r="B100" s="4">
        <v>391</v>
      </c>
      <c r="C100" s="4" t="s">
        <v>43</v>
      </c>
      <c r="D100" s="5">
        <v>44256</v>
      </c>
      <c r="E100" s="6">
        <v>21.9</v>
      </c>
      <c r="F100" s="6" t="s">
        <v>35</v>
      </c>
      <c r="G100" s="6" t="s">
        <v>39</v>
      </c>
      <c r="H100" s="6">
        <v>80.7</v>
      </c>
      <c r="I100" s="6">
        <v>51.4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>
        <v>2566</v>
      </c>
      <c r="AF100" s="4">
        <v>120</v>
      </c>
      <c r="AG100" s="4">
        <v>184</v>
      </c>
    </row>
    <row r="101" spans="1:34" ht="13" x14ac:dyDescent="0.3">
      <c r="A101" s="4" t="s">
        <v>33</v>
      </c>
      <c r="B101" s="4">
        <v>392</v>
      </c>
      <c r="C101" s="4" t="s">
        <v>43</v>
      </c>
      <c r="D101" s="5">
        <v>44256</v>
      </c>
      <c r="E101" s="6">
        <v>21.9</v>
      </c>
      <c r="F101" s="6" t="s">
        <v>35</v>
      </c>
      <c r="G101" s="6" t="s">
        <v>39</v>
      </c>
      <c r="H101" s="6">
        <v>82.4</v>
      </c>
      <c r="I101" s="6">
        <v>57.5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>
        <v>2872</v>
      </c>
      <c r="AF101" s="4">
        <v>108</v>
      </c>
      <c r="AG101" s="4">
        <v>230</v>
      </c>
    </row>
    <row r="102" spans="1:34" ht="13" x14ac:dyDescent="0.3">
      <c r="A102" s="4" t="s">
        <v>33</v>
      </c>
      <c r="B102" s="4">
        <v>393</v>
      </c>
      <c r="C102" s="4" t="s">
        <v>43</v>
      </c>
      <c r="D102" s="5">
        <v>44256</v>
      </c>
      <c r="E102" s="6">
        <v>21.9</v>
      </c>
      <c r="F102" s="6" t="s">
        <v>35</v>
      </c>
      <c r="G102" s="6" t="s">
        <v>39</v>
      </c>
      <c r="H102" s="6">
        <v>73</v>
      </c>
      <c r="I102" s="6">
        <v>49.5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>
        <v>1704</v>
      </c>
      <c r="AF102" s="4">
        <v>66</v>
      </c>
      <c r="AG102" s="4">
        <v>148</v>
      </c>
    </row>
    <row r="103" spans="1:34" ht="13" x14ac:dyDescent="0.3">
      <c r="A103" s="4" t="s">
        <v>33</v>
      </c>
      <c r="B103" s="4">
        <v>394</v>
      </c>
      <c r="C103" s="4" t="s">
        <v>43</v>
      </c>
      <c r="D103" s="5">
        <v>44256</v>
      </c>
      <c r="E103" s="6">
        <v>21.9</v>
      </c>
      <c r="F103" s="6" t="s">
        <v>35</v>
      </c>
      <c r="G103" s="6" t="s">
        <v>39</v>
      </c>
      <c r="H103" s="6">
        <v>86.9</v>
      </c>
      <c r="I103" s="6">
        <v>64.599999999999994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>
        <v>4028</v>
      </c>
      <c r="AF103" s="4">
        <v>214</v>
      </c>
      <c r="AG103" s="4">
        <v>328</v>
      </c>
    </row>
    <row r="104" spans="1:34" ht="13" x14ac:dyDescent="0.3">
      <c r="A104" s="4" t="s">
        <v>33</v>
      </c>
      <c r="B104" s="4">
        <v>395</v>
      </c>
      <c r="C104" s="4" t="s">
        <v>43</v>
      </c>
      <c r="D104" s="5">
        <v>44256</v>
      </c>
      <c r="E104" s="6">
        <v>21.9</v>
      </c>
      <c r="F104" s="6" t="s">
        <v>35</v>
      </c>
      <c r="G104" s="6" t="s">
        <v>39</v>
      </c>
      <c r="H104" s="6">
        <v>74.599999999999994</v>
      </c>
      <c r="I104" s="6">
        <v>55.8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>
        <v>3310</v>
      </c>
      <c r="AF104" s="4">
        <v>210</v>
      </c>
      <c r="AG104" s="4">
        <v>346</v>
      </c>
    </row>
    <row r="105" spans="1:34" ht="13" x14ac:dyDescent="0.3">
      <c r="A105" s="4" t="s">
        <v>33</v>
      </c>
      <c r="B105" s="4">
        <v>396</v>
      </c>
      <c r="C105" s="4" t="s">
        <v>43</v>
      </c>
      <c r="D105" s="5">
        <v>44256</v>
      </c>
      <c r="E105" s="6">
        <v>21.9</v>
      </c>
      <c r="F105" s="6" t="s">
        <v>35</v>
      </c>
      <c r="G105" s="6" t="s">
        <v>39</v>
      </c>
      <c r="H105" s="6">
        <v>80.8</v>
      </c>
      <c r="I105" s="6">
        <v>57.6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>
        <v>3142</v>
      </c>
      <c r="AF105" s="4">
        <v>182</v>
      </c>
      <c r="AG105" s="4">
        <v>226</v>
      </c>
    </row>
    <row r="106" spans="1:34" ht="13" x14ac:dyDescent="0.3">
      <c r="A106" s="4" t="s">
        <v>33</v>
      </c>
      <c r="B106" s="4">
        <v>398</v>
      </c>
      <c r="C106" s="4" t="s">
        <v>43</v>
      </c>
      <c r="D106" s="5">
        <v>44256</v>
      </c>
      <c r="E106" s="6">
        <v>21.9</v>
      </c>
      <c r="F106" s="6" t="s">
        <v>35</v>
      </c>
      <c r="G106" s="6" t="s">
        <v>39</v>
      </c>
      <c r="H106" s="6">
        <v>76.599999999999994</v>
      </c>
      <c r="I106" s="6">
        <v>58.2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3412</v>
      </c>
      <c r="AF106" s="4">
        <v>112</v>
      </c>
      <c r="AG106" s="4">
        <v>284</v>
      </c>
    </row>
    <row r="107" spans="1:34" ht="13" x14ac:dyDescent="0.3">
      <c r="A107" s="4" t="s">
        <v>33</v>
      </c>
      <c r="B107" s="4">
        <v>406</v>
      </c>
      <c r="C107" s="4" t="s">
        <v>47</v>
      </c>
      <c r="D107" s="5">
        <v>44256</v>
      </c>
      <c r="E107" s="6">
        <v>21.9</v>
      </c>
      <c r="F107" s="6" t="s">
        <v>35</v>
      </c>
      <c r="G107" s="6" t="s">
        <v>40</v>
      </c>
      <c r="H107" s="6">
        <v>62.3</v>
      </c>
      <c r="I107" s="6">
        <v>43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>
        <v>1276</v>
      </c>
      <c r="AF107" s="4"/>
      <c r="AG107" s="4"/>
      <c r="AH107" s="14" t="s">
        <v>548</v>
      </c>
    </row>
    <row r="108" spans="1:34" ht="13" x14ac:dyDescent="0.3">
      <c r="A108" s="4" t="s">
        <v>33</v>
      </c>
      <c r="B108" s="4">
        <v>411</v>
      </c>
      <c r="C108" s="4" t="s">
        <v>43</v>
      </c>
      <c r="D108" s="5">
        <v>44256</v>
      </c>
      <c r="E108" s="6">
        <v>21.9</v>
      </c>
      <c r="F108" s="6" t="s">
        <v>35</v>
      </c>
      <c r="G108" s="6" t="s">
        <v>39</v>
      </c>
      <c r="H108" s="6">
        <v>97</v>
      </c>
      <c r="I108" s="6">
        <v>66.599999999999994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>
        <v>6.9</v>
      </c>
      <c r="V108" s="4">
        <v>7</v>
      </c>
      <c r="W108" s="4">
        <v>41</v>
      </c>
      <c r="X108" s="4">
        <v>41</v>
      </c>
      <c r="Y108" s="4">
        <v>10</v>
      </c>
      <c r="Z108" s="4">
        <v>10</v>
      </c>
      <c r="AA108" s="4" t="s">
        <v>48</v>
      </c>
      <c r="AB108" s="4" t="s">
        <v>49</v>
      </c>
      <c r="AC108" s="4"/>
      <c r="AD108" s="4"/>
      <c r="AE108" s="4">
        <v>4453</v>
      </c>
      <c r="AF108" s="4">
        <v>208</v>
      </c>
      <c r="AG108" s="4">
        <v>366</v>
      </c>
      <c r="AH108" s="14" t="s">
        <v>517</v>
      </c>
    </row>
    <row r="109" spans="1:34" ht="13" x14ac:dyDescent="0.3">
      <c r="A109" s="4" t="s">
        <v>33</v>
      </c>
      <c r="B109" s="4">
        <v>414</v>
      </c>
      <c r="C109" s="4" t="s">
        <v>43</v>
      </c>
      <c r="D109" s="5">
        <v>44256</v>
      </c>
      <c r="E109" s="6">
        <v>21.9</v>
      </c>
      <c r="F109" s="6" t="s">
        <v>35</v>
      </c>
      <c r="G109" s="6" t="s">
        <v>39</v>
      </c>
      <c r="H109" s="6">
        <v>76.599999999999994</v>
      </c>
      <c r="I109" s="6">
        <v>52.8</v>
      </c>
      <c r="J109" s="4"/>
      <c r="K109" s="4"/>
      <c r="L109" s="4"/>
      <c r="M109" s="4"/>
      <c r="N109" s="4"/>
      <c r="O109" s="4"/>
      <c r="P109" s="4"/>
      <c r="Q109" s="4"/>
      <c r="R109" s="4"/>
      <c r="S109" s="4" t="s">
        <v>62</v>
      </c>
      <c r="T109" s="4" t="s">
        <v>63</v>
      </c>
      <c r="U109" s="4" t="s">
        <v>64</v>
      </c>
      <c r="V109" s="4" t="s">
        <v>65</v>
      </c>
      <c r="W109" s="4">
        <v>22</v>
      </c>
      <c r="X109" s="4">
        <v>42</v>
      </c>
      <c r="Y109" s="4">
        <v>5</v>
      </c>
      <c r="Z109" s="4">
        <v>6</v>
      </c>
      <c r="AA109" s="4" t="s">
        <v>66</v>
      </c>
      <c r="AB109" s="4" t="s">
        <v>67</v>
      </c>
      <c r="AC109" s="4"/>
      <c r="AD109" s="4"/>
      <c r="AE109" s="4">
        <v>2122</v>
      </c>
      <c r="AF109" s="4">
        <v>64</v>
      </c>
      <c r="AG109" s="4">
        <v>148</v>
      </c>
      <c r="AH109" s="14" t="s">
        <v>517</v>
      </c>
    </row>
    <row r="110" spans="1:34" ht="13" x14ac:dyDescent="0.3">
      <c r="A110" s="4" t="s">
        <v>33</v>
      </c>
      <c r="B110" s="4">
        <v>418</v>
      </c>
      <c r="C110" s="4" t="s">
        <v>43</v>
      </c>
      <c r="D110" s="5">
        <v>44256</v>
      </c>
      <c r="E110" s="6">
        <v>21.9</v>
      </c>
      <c r="F110" s="6" t="s">
        <v>35</v>
      </c>
      <c r="G110" s="6" t="s">
        <v>39</v>
      </c>
      <c r="H110" s="6">
        <v>76</v>
      </c>
      <c r="I110" s="6">
        <v>54.4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 t="s">
        <v>68</v>
      </c>
      <c r="V110" s="4" t="s">
        <v>69</v>
      </c>
      <c r="W110" s="4">
        <v>39</v>
      </c>
      <c r="X110" s="4">
        <v>33</v>
      </c>
      <c r="Y110" s="4">
        <v>9</v>
      </c>
      <c r="Z110" s="4">
        <v>5</v>
      </c>
      <c r="AA110" s="4" t="s">
        <v>70</v>
      </c>
      <c r="AB110" s="4" t="s">
        <v>71</v>
      </c>
      <c r="AC110" s="4">
        <v>1</v>
      </c>
      <c r="AD110" s="4">
        <v>1</v>
      </c>
      <c r="AE110" s="4">
        <v>3146</v>
      </c>
      <c r="AF110" s="4">
        <v>120</v>
      </c>
      <c r="AG110" s="4">
        <v>194</v>
      </c>
      <c r="AH110" s="14" t="s">
        <v>549</v>
      </c>
    </row>
    <row r="111" spans="1:34" ht="13" x14ac:dyDescent="0.3">
      <c r="A111" s="4" t="s">
        <v>33</v>
      </c>
      <c r="B111" s="4">
        <v>420</v>
      </c>
      <c r="C111" s="4" t="s">
        <v>43</v>
      </c>
      <c r="D111" s="5">
        <v>44256</v>
      </c>
      <c r="E111" s="6">
        <v>21.9</v>
      </c>
      <c r="F111" s="6" t="s">
        <v>35</v>
      </c>
      <c r="G111" s="6" t="s">
        <v>40</v>
      </c>
      <c r="H111" s="6">
        <v>57</v>
      </c>
      <c r="I111" s="6">
        <v>43.4</v>
      </c>
      <c r="J111" s="4"/>
      <c r="K111" s="4"/>
      <c r="L111" s="4"/>
      <c r="M111" s="4"/>
      <c r="N111" s="4"/>
      <c r="O111" s="4"/>
      <c r="P111" s="4"/>
      <c r="Q111" s="4"/>
      <c r="R111" s="4"/>
      <c r="S111" s="4">
        <v>7.6</v>
      </c>
      <c r="T111" s="4">
        <v>7.1</v>
      </c>
      <c r="U111" s="4"/>
      <c r="V111" s="4"/>
      <c r="W111" s="4">
        <v>17</v>
      </c>
      <c r="X111" s="4">
        <v>16</v>
      </c>
      <c r="Y111" s="4"/>
      <c r="Z111" s="4"/>
      <c r="AA111" s="4"/>
      <c r="AB111" s="4"/>
      <c r="AC111" s="4"/>
      <c r="AD111" s="4"/>
      <c r="AE111" s="4">
        <v>1366</v>
      </c>
      <c r="AF111" s="4">
        <v>84</v>
      </c>
      <c r="AG111" s="4">
        <v>12</v>
      </c>
      <c r="AH111" s="14" t="s">
        <v>524</v>
      </c>
    </row>
    <row r="112" spans="1:34" ht="13" x14ac:dyDescent="0.3">
      <c r="A112" s="4" t="s">
        <v>33</v>
      </c>
      <c r="B112" s="4">
        <v>457</v>
      </c>
      <c r="C112" s="4" t="s">
        <v>43</v>
      </c>
      <c r="D112" s="5">
        <v>44336</v>
      </c>
      <c r="E112" s="6"/>
      <c r="F112" s="6" t="s">
        <v>35</v>
      </c>
      <c r="G112" s="6" t="s">
        <v>40</v>
      </c>
      <c r="H112" s="6">
        <v>65</v>
      </c>
      <c r="I112" s="6">
        <v>41.1</v>
      </c>
      <c r="J112" s="4"/>
      <c r="K112" s="4"/>
      <c r="L112" s="4"/>
      <c r="M112" s="4"/>
      <c r="N112" s="4"/>
      <c r="O112" s="4"/>
      <c r="P112" s="4"/>
      <c r="Q112" s="4"/>
      <c r="R112" s="4"/>
      <c r="S112" s="4" t="s">
        <v>72</v>
      </c>
      <c r="T112" s="4" t="s">
        <v>73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>
        <v>1076</v>
      </c>
      <c r="AF112" s="4">
        <v>68</v>
      </c>
      <c r="AG112" s="4">
        <v>2</v>
      </c>
      <c r="AH112" s="14" t="s">
        <v>549</v>
      </c>
    </row>
    <row r="113" spans="1:34" ht="13" x14ac:dyDescent="0.3">
      <c r="A113" s="4" t="s">
        <v>33</v>
      </c>
      <c r="B113" s="4">
        <v>470</v>
      </c>
      <c r="C113" s="4" t="s">
        <v>43</v>
      </c>
      <c r="D113" s="5">
        <v>44336</v>
      </c>
      <c r="E113" s="6"/>
      <c r="F113" s="6" t="s">
        <v>35</v>
      </c>
      <c r="G113" s="6" t="s">
        <v>40</v>
      </c>
      <c r="H113" s="6">
        <v>47.3</v>
      </c>
      <c r="I113" s="6">
        <v>30.6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>
        <v>432</v>
      </c>
      <c r="AF113" s="4">
        <v>18</v>
      </c>
      <c r="AG113" s="4"/>
      <c r="AH113" s="14" t="s">
        <v>549</v>
      </c>
    </row>
    <row r="114" spans="1:34" ht="13" x14ac:dyDescent="0.3">
      <c r="A114" s="4" t="s">
        <v>33</v>
      </c>
      <c r="B114" s="4">
        <v>471</v>
      </c>
      <c r="C114" s="4" t="s">
        <v>43</v>
      </c>
      <c r="D114" s="5">
        <v>44336</v>
      </c>
      <c r="E114" s="6"/>
      <c r="F114" s="6" t="s">
        <v>35</v>
      </c>
      <c r="G114" s="6" t="s">
        <v>40</v>
      </c>
      <c r="H114" s="6">
        <v>46.6</v>
      </c>
      <c r="I114" s="6">
        <v>31.2</v>
      </c>
      <c r="J114" s="4"/>
      <c r="K114" s="4"/>
      <c r="L114" s="4"/>
      <c r="M114" s="4"/>
      <c r="N114" s="4"/>
      <c r="O114" s="4"/>
      <c r="P114" s="4"/>
      <c r="Q114" s="4"/>
      <c r="R114" s="4"/>
      <c r="S114" s="4">
        <v>3.2</v>
      </c>
      <c r="T114" s="4">
        <v>3.4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>
        <v>436</v>
      </c>
      <c r="AF114" s="4">
        <v>30</v>
      </c>
      <c r="AG114" s="4">
        <v>2</v>
      </c>
    </row>
    <row r="115" spans="1:34" ht="13" x14ac:dyDescent="0.3">
      <c r="A115" s="4" t="s">
        <v>33</v>
      </c>
      <c r="B115" s="4">
        <v>473</v>
      </c>
      <c r="C115" s="4" t="s">
        <v>43</v>
      </c>
      <c r="D115" s="5">
        <v>44336</v>
      </c>
      <c r="E115" s="6"/>
      <c r="F115" s="6" t="s">
        <v>35</v>
      </c>
      <c r="G115" s="6" t="s">
        <v>40</v>
      </c>
      <c r="H115" s="6">
        <v>58.8</v>
      </c>
      <c r="I115" s="6">
        <v>41.5</v>
      </c>
      <c r="J115" s="4"/>
      <c r="K115" s="4"/>
      <c r="L115" s="4"/>
      <c r="M115" s="4"/>
      <c r="N115" s="4"/>
      <c r="O115" s="4"/>
      <c r="P115" s="4"/>
      <c r="Q115" s="4"/>
      <c r="R115" s="4"/>
      <c r="S115" s="4">
        <v>6.26</v>
      </c>
      <c r="T115" s="4">
        <v>6.73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>
        <v>940</v>
      </c>
      <c r="AF115" s="4">
        <v>60</v>
      </c>
      <c r="AG115" s="4">
        <v>6</v>
      </c>
    </row>
    <row r="116" spans="1:34" ht="13" x14ac:dyDescent="0.3">
      <c r="A116" s="4" t="s">
        <v>33</v>
      </c>
      <c r="B116" s="4">
        <v>474</v>
      </c>
      <c r="C116" s="4" t="s">
        <v>43</v>
      </c>
      <c r="D116" s="5">
        <v>44336</v>
      </c>
      <c r="E116" s="6"/>
      <c r="F116" s="6" t="s">
        <v>35</v>
      </c>
      <c r="G116" s="6" t="s">
        <v>39</v>
      </c>
      <c r="H116" s="6">
        <v>73.099999999999994</v>
      </c>
      <c r="I116" s="6">
        <v>52.3</v>
      </c>
      <c r="J116" s="4"/>
      <c r="K116" s="4"/>
      <c r="L116" s="4"/>
      <c r="M116" s="4"/>
      <c r="N116" s="4"/>
      <c r="O116" s="4"/>
      <c r="P116" s="4"/>
      <c r="Q116" s="4"/>
      <c r="R116" s="4"/>
      <c r="S116" s="4">
        <v>11.7</v>
      </c>
      <c r="T116" s="4">
        <v>11.7</v>
      </c>
      <c r="U116" s="4" t="s">
        <v>74</v>
      </c>
      <c r="V116" s="4" t="s">
        <v>74</v>
      </c>
      <c r="W116" s="4"/>
      <c r="X116" s="4"/>
      <c r="Y116" s="4"/>
      <c r="Z116" s="4"/>
      <c r="AA116" s="4" t="s">
        <v>75</v>
      </c>
      <c r="AB116" s="4" t="s">
        <v>75</v>
      </c>
      <c r="AC116" s="4"/>
      <c r="AD116" s="4"/>
      <c r="AE116" s="4">
        <v>2458</v>
      </c>
      <c r="AF116" s="4">
        <v>176</v>
      </c>
      <c r="AG116" s="4">
        <v>48</v>
      </c>
      <c r="AH116" s="14" t="s">
        <v>549</v>
      </c>
    </row>
    <row r="117" spans="1:34" ht="13" x14ac:dyDescent="0.3">
      <c r="A117" s="4" t="s">
        <v>33</v>
      </c>
      <c r="B117" s="4">
        <v>477</v>
      </c>
      <c r="C117" s="4" t="s">
        <v>43</v>
      </c>
      <c r="D117" s="5">
        <v>44336</v>
      </c>
      <c r="E117" s="6"/>
      <c r="F117" s="6" t="s">
        <v>35</v>
      </c>
      <c r="G117" s="6" t="s">
        <v>40</v>
      </c>
      <c r="H117" s="6">
        <v>47.3</v>
      </c>
      <c r="I117" s="6">
        <v>29.8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>
        <v>416</v>
      </c>
      <c r="AF117" s="4">
        <v>20</v>
      </c>
      <c r="AG117" s="4">
        <v>2</v>
      </c>
    </row>
    <row r="118" spans="1:34" ht="13" x14ac:dyDescent="0.3">
      <c r="A118" s="4" t="s">
        <v>33</v>
      </c>
      <c r="B118" s="4">
        <v>489</v>
      </c>
      <c r="C118" s="4" t="s">
        <v>43</v>
      </c>
      <c r="D118" s="5">
        <v>44336</v>
      </c>
      <c r="E118" s="6"/>
      <c r="F118" s="6" t="s">
        <v>35</v>
      </c>
      <c r="G118" s="6" t="s">
        <v>40</v>
      </c>
      <c r="H118" s="6">
        <v>46</v>
      </c>
      <c r="I118" s="6">
        <v>28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>
        <v>324</v>
      </c>
      <c r="AF118" s="4">
        <v>22</v>
      </c>
      <c r="AG118" s="4">
        <v>2</v>
      </c>
    </row>
    <row r="119" spans="1:34" ht="13" x14ac:dyDescent="0.3">
      <c r="A119" s="4" t="s">
        <v>33</v>
      </c>
      <c r="B119" s="4">
        <v>492</v>
      </c>
      <c r="C119" s="4" t="s">
        <v>43</v>
      </c>
      <c r="D119" s="5">
        <v>44336</v>
      </c>
      <c r="E119" s="6"/>
      <c r="F119" s="6" t="s">
        <v>35</v>
      </c>
      <c r="G119" s="6" t="s">
        <v>40</v>
      </c>
      <c r="H119" s="6">
        <v>65.7</v>
      </c>
      <c r="I119" s="6">
        <v>45.1</v>
      </c>
      <c r="J119" s="4"/>
      <c r="K119" s="4"/>
      <c r="L119" s="4"/>
      <c r="M119" s="4"/>
      <c r="N119" s="4"/>
      <c r="O119" s="4"/>
      <c r="P119" s="4"/>
      <c r="Q119" s="4"/>
      <c r="R119" s="4"/>
      <c r="S119" s="4">
        <v>9.0299999999999994</v>
      </c>
      <c r="T119" s="4">
        <v>9.0299999999999994</v>
      </c>
      <c r="U119" s="4" t="s">
        <v>85</v>
      </c>
      <c r="V119" s="4" t="s">
        <v>85</v>
      </c>
      <c r="W119" s="4"/>
      <c r="X119" s="4"/>
      <c r="Y119" s="4"/>
      <c r="Z119" s="4"/>
      <c r="AA119" s="4"/>
      <c r="AB119" s="4"/>
      <c r="AC119" s="4"/>
      <c r="AD119" s="4"/>
      <c r="AE119" s="4">
        <v>1670</v>
      </c>
      <c r="AF119" s="4">
        <v>122</v>
      </c>
      <c r="AG119" s="4">
        <v>8</v>
      </c>
    </row>
    <row r="120" spans="1:34" ht="13" x14ac:dyDescent="0.3">
      <c r="A120" s="4" t="s">
        <v>33</v>
      </c>
      <c r="B120" s="4">
        <v>493</v>
      </c>
      <c r="C120" s="4" t="s">
        <v>43</v>
      </c>
      <c r="D120" s="5">
        <v>44336</v>
      </c>
      <c r="E120" s="6"/>
      <c r="F120" s="6" t="s">
        <v>35</v>
      </c>
      <c r="G120" s="6" t="s">
        <v>39</v>
      </c>
      <c r="H120" s="6">
        <v>77.900000000000006</v>
      </c>
      <c r="I120" s="6">
        <v>52.8</v>
      </c>
      <c r="J120" s="4"/>
      <c r="K120" s="4"/>
      <c r="L120" s="4"/>
      <c r="M120" s="4"/>
      <c r="N120" s="4"/>
      <c r="O120" s="4"/>
      <c r="P120" s="4"/>
      <c r="Q120" s="4"/>
      <c r="R120" s="4"/>
      <c r="S120" s="4">
        <v>7.19</v>
      </c>
      <c r="T120" s="4">
        <v>7.19</v>
      </c>
      <c r="U120" s="4" t="s">
        <v>86</v>
      </c>
      <c r="V120" s="4" t="s">
        <v>86</v>
      </c>
      <c r="W120" s="4"/>
      <c r="X120" s="4"/>
      <c r="Y120" s="4"/>
      <c r="Z120" s="4"/>
      <c r="AA120" s="4">
        <v>1</v>
      </c>
      <c r="AB120" s="4">
        <v>1</v>
      </c>
      <c r="AC120" s="4"/>
      <c r="AD120" s="4"/>
      <c r="AE120" s="4">
        <v>2286</v>
      </c>
      <c r="AF120" s="4">
        <v>112</v>
      </c>
      <c r="AG120" s="4">
        <v>82</v>
      </c>
    </row>
    <row r="121" spans="1:34" ht="13" x14ac:dyDescent="0.3">
      <c r="A121" s="4" t="s">
        <v>33</v>
      </c>
      <c r="B121" s="4">
        <v>500</v>
      </c>
      <c r="C121" s="4" t="s">
        <v>43</v>
      </c>
      <c r="D121" s="5">
        <v>44336</v>
      </c>
      <c r="E121" s="6"/>
      <c r="F121" s="6" t="s">
        <v>35</v>
      </c>
      <c r="G121" s="6" t="s">
        <v>40</v>
      </c>
      <c r="H121" s="6">
        <v>42.4</v>
      </c>
      <c r="I121" s="6">
        <v>28.2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>
        <v>374</v>
      </c>
      <c r="AF121" s="4">
        <v>24</v>
      </c>
      <c r="AG121" s="4">
        <v>2</v>
      </c>
      <c r="AH121" s="14" t="s">
        <v>555</v>
      </c>
    </row>
    <row r="122" spans="1:34" ht="13" x14ac:dyDescent="0.3">
      <c r="A122" s="4" t="s">
        <v>33</v>
      </c>
      <c r="B122" s="4">
        <v>501</v>
      </c>
      <c r="C122" s="4" t="s">
        <v>43</v>
      </c>
      <c r="D122" s="5">
        <v>44336</v>
      </c>
      <c r="E122" s="6"/>
      <c r="F122" s="6" t="s">
        <v>35</v>
      </c>
      <c r="G122" s="6" t="s">
        <v>40</v>
      </c>
      <c r="H122" s="6">
        <v>48.6</v>
      </c>
      <c r="I122" s="6">
        <v>31.4</v>
      </c>
      <c r="J122" s="4"/>
      <c r="K122" s="4"/>
      <c r="L122" s="4"/>
      <c r="M122" s="4"/>
      <c r="N122" s="4"/>
      <c r="O122" s="4"/>
      <c r="P122" s="4"/>
      <c r="Q122" s="4"/>
      <c r="R122" s="4"/>
      <c r="S122" s="4">
        <v>5.0999999999999996</v>
      </c>
      <c r="T122" s="4">
        <v>5.5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>
        <v>526</v>
      </c>
      <c r="AF122" s="4">
        <v>34</v>
      </c>
      <c r="AG122" s="4">
        <v>2</v>
      </c>
    </row>
    <row r="123" spans="1:34" ht="13" x14ac:dyDescent="0.3">
      <c r="A123" s="4" t="s">
        <v>33</v>
      </c>
      <c r="B123" s="4">
        <v>505</v>
      </c>
      <c r="C123" s="4" t="s">
        <v>43</v>
      </c>
      <c r="D123" s="5">
        <v>44336</v>
      </c>
      <c r="E123" s="6"/>
      <c r="F123" s="6" t="s">
        <v>35</v>
      </c>
      <c r="G123" s="6" t="s">
        <v>40</v>
      </c>
      <c r="H123" s="6">
        <v>49.1</v>
      </c>
      <c r="I123" s="6">
        <v>31.5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>
        <v>614</v>
      </c>
      <c r="AF123" s="4">
        <v>40</v>
      </c>
      <c r="AG123" s="4">
        <v>2</v>
      </c>
    </row>
    <row r="124" spans="1:34" ht="13" x14ac:dyDescent="0.3">
      <c r="A124" s="4" t="s">
        <v>33</v>
      </c>
      <c r="B124" s="4">
        <v>508</v>
      </c>
      <c r="C124" s="4" t="s">
        <v>43</v>
      </c>
      <c r="D124" s="5">
        <v>44336</v>
      </c>
      <c r="E124" s="6"/>
      <c r="F124" s="6" t="s">
        <v>35</v>
      </c>
      <c r="G124" s="6" t="s">
        <v>40</v>
      </c>
      <c r="H124" s="6">
        <v>48.9</v>
      </c>
      <c r="I124" s="6">
        <v>34.9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>
        <v>496</v>
      </c>
      <c r="AF124" s="4">
        <v>20</v>
      </c>
      <c r="AG124" s="4"/>
      <c r="AH124" s="14" t="s">
        <v>549</v>
      </c>
    </row>
    <row r="125" spans="1:34" ht="13" x14ac:dyDescent="0.3">
      <c r="A125" s="4" t="s">
        <v>33</v>
      </c>
      <c r="B125" s="4">
        <v>512</v>
      </c>
      <c r="C125" s="4" t="s">
        <v>43</v>
      </c>
      <c r="D125" s="5">
        <v>44336</v>
      </c>
      <c r="E125" s="6"/>
      <c r="F125" s="6" t="s">
        <v>35</v>
      </c>
      <c r="G125" s="6" t="s">
        <v>40</v>
      </c>
      <c r="H125" s="6">
        <v>43.3</v>
      </c>
      <c r="I125" s="6">
        <v>29.3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>
        <v>396</v>
      </c>
      <c r="AF125" s="4">
        <v>18</v>
      </c>
      <c r="AG125" s="4"/>
    </row>
    <row r="126" spans="1:34" ht="13" x14ac:dyDescent="0.3">
      <c r="A126" s="4" t="s">
        <v>33</v>
      </c>
      <c r="B126" s="4">
        <v>516</v>
      </c>
      <c r="C126" s="4" t="s">
        <v>43</v>
      </c>
      <c r="D126" s="5">
        <v>44336</v>
      </c>
      <c r="E126" s="6"/>
      <c r="F126" s="6" t="s">
        <v>35</v>
      </c>
      <c r="G126" s="6" t="s">
        <v>39</v>
      </c>
      <c r="H126" s="6">
        <v>91.8</v>
      </c>
      <c r="I126" s="6">
        <v>62.9</v>
      </c>
      <c r="J126" s="4"/>
      <c r="K126" s="4"/>
      <c r="L126" s="4"/>
      <c r="M126" s="4"/>
      <c r="N126" s="4"/>
      <c r="O126" s="4"/>
      <c r="P126" s="4"/>
      <c r="Q126" s="4"/>
      <c r="R126" s="4"/>
      <c r="S126" s="4" t="s">
        <v>102</v>
      </c>
      <c r="T126" s="4" t="s">
        <v>102</v>
      </c>
      <c r="U126" s="4" t="s">
        <v>103</v>
      </c>
      <c r="V126" s="4" t="s">
        <v>103</v>
      </c>
      <c r="W126" s="4"/>
      <c r="X126" s="4"/>
      <c r="Y126" s="4">
        <v>3</v>
      </c>
      <c r="Z126" s="4">
        <v>2</v>
      </c>
      <c r="AA126" s="4" t="s">
        <v>104</v>
      </c>
      <c r="AB126" s="4" t="s">
        <v>104</v>
      </c>
      <c r="AC126" s="4"/>
      <c r="AD126" s="4"/>
      <c r="AE126" s="4">
        <v>3966</v>
      </c>
      <c r="AF126" s="4">
        <v>146</v>
      </c>
      <c r="AG126" s="4">
        <v>290</v>
      </c>
    </row>
    <row r="127" spans="1:34" ht="13" x14ac:dyDescent="0.3">
      <c r="A127" s="4" t="s">
        <v>33</v>
      </c>
      <c r="B127" s="4">
        <v>517</v>
      </c>
      <c r="C127" s="4" t="s">
        <v>43</v>
      </c>
      <c r="D127" s="5">
        <v>44336</v>
      </c>
      <c r="E127" s="6"/>
      <c r="F127" s="6" t="s">
        <v>35</v>
      </c>
      <c r="G127" s="6" t="s">
        <v>40</v>
      </c>
      <c r="H127" s="6">
        <v>60.6</v>
      </c>
      <c r="I127" s="6">
        <v>49.1</v>
      </c>
      <c r="J127" s="4"/>
      <c r="K127" s="4"/>
      <c r="L127" s="4"/>
      <c r="M127" s="4"/>
      <c r="N127" s="4"/>
      <c r="O127" s="4"/>
      <c r="P127" s="4"/>
      <c r="Q127" s="4"/>
      <c r="R127" s="4"/>
      <c r="S127" s="4">
        <v>12.46</v>
      </c>
      <c r="T127" s="4">
        <v>12.55</v>
      </c>
      <c r="U127" s="4" t="s">
        <v>105</v>
      </c>
      <c r="V127" s="4" t="s">
        <v>106</v>
      </c>
      <c r="W127" s="4">
        <v>51</v>
      </c>
      <c r="X127" s="4">
        <v>88</v>
      </c>
      <c r="Y127" s="4"/>
      <c r="Z127" s="4"/>
      <c r="AA127" s="4"/>
      <c r="AB127" s="4"/>
      <c r="AC127" s="4"/>
      <c r="AD127" s="4"/>
      <c r="AE127" s="4">
        <v>1748</v>
      </c>
      <c r="AF127" s="4">
        <v>118</v>
      </c>
      <c r="AG127" s="4">
        <v>26</v>
      </c>
      <c r="AH127" s="14" t="s">
        <v>558</v>
      </c>
    </row>
    <row r="128" spans="1:34" ht="13" x14ac:dyDescent="0.3">
      <c r="A128" s="4" t="s">
        <v>33</v>
      </c>
      <c r="B128" s="4">
        <v>519</v>
      </c>
      <c r="C128" s="4" t="s">
        <v>43</v>
      </c>
      <c r="D128" s="5">
        <v>44336</v>
      </c>
      <c r="E128" s="6"/>
      <c r="F128" s="6" t="s">
        <v>35</v>
      </c>
      <c r="G128" s="6" t="s">
        <v>39</v>
      </c>
      <c r="H128" s="6">
        <v>88.4</v>
      </c>
      <c r="I128" s="6">
        <v>66.5</v>
      </c>
      <c r="J128" s="4"/>
      <c r="K128" s="4"/>
      <c r="L128" s="4"/>
      <c r="M128" s="4"/>
      <c r="N128" s="4"/>
      <c r="O128" s="4"/>
      <c r="P128" s="4"/>
      <c r="Q128" s="4"/>
      <c r="R128" s="4"/>
      <c r="S128" s="4" t="s">
        <v>108</v>
      </c>
      <c r="T128" s="4" t="s">
        <v>108</v>
      </c>
      <c r="U128" s="4" t="s">
        <v>109</v>
      </c>
      <c r="V128" s="4" t="s">
        <v>109</v>
      </c>
      <c r="W128" s="4"/>
      <c r="X128" s="4"/>
      <c r="Y128" s="4">
        <v>1</v>
      </c>
      <c r="Z128" s="4">
        <v>4</v>
      </c>
      <c r="AA128" s="4"/>
      <c r="AB128" s="4"/>
      <c r="AC128" s="4"/>
      <c r="AD128" s="4"/>
      <c r="AE128" s="4">
        <v>4388</v>
      </c>
      <c r="AF128" s="4">
        <v>142</v>
      </c>
      <c r="AG128" s="4">
        <v>246</v>
      </c>
    </row>
    <row r="129" spans="1:34" ht="13" x14ac:dyDescent="0.3">
      <c r="A129" s="4" t="s">
        <v>33</v>
      </c>
      <c r="B129" s="4">
        <v>520</v>
      </c>
      <c r="C129" s="4" t="s">
        <v>43</v>
      </c>
      <c r="D129" s="5">
        <v>44336</v>
      </c>
      <c r="E129" s="6"/>
      <c r="F129" s="6" t="s">
        <v>35</v>
      </c>
      <c r="G129" s="6" t="s">
        <v>40</v>
      </c>
      <c r="H129" s="6">
        <v>75.599999999999994</v>
      </c>
      <c r="I129" s="6">
        <v>56.7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 t="s">
        <v>110</v>
      </c>
      <c r="U129" s="4" t="s">
        <v>111</v>
      </c>
      <c r="V129" s="4"/>
      <c r="W129" s="4"/>
      <c r="X129" s="4"/>
      <c r="Y129" s="4"/>
      <c r="Z129" s="4"/>
      <c r="AA129" s="4"/>
      <c r="AB129" s="4"/>
      <c r="AC129" s="4"/>
      <c r="AD129" s="4"/>
      <c r="AE129" s="4">
        <v>2102</v>
      </c>
      <c r="AF129" s="4">
        <v>612</v>
      </c>
      <c r="AG129" s="4">
        <v>36</v>
      </c>
      <c r="AH129" s="14" t="s">
        <v>549</v>
      </c>
    </row>
    <row r="130" spans="1:34" ht="13" x14ac:dyDescent="0.3">
      <c r="A130" s="4" t="s">
        <v>33</v>
      </c>
      <c r="B130" s="4">
        <v>522</v>
      </c>
      <c r="C130" s="4" t="s">
        <v>43</v>
      </c>
      <c r="D130" s="5">
        <v>44336</v>
      </c>
      <c r="E130" s="6"/>
      <c r="F130" s="6" t="s">
        <v>35</v>
      </c>
      <c r="G130" s="6" t="s">
        <v>40</v>
      </c>
      <c r="H130" s="6">
        <v>71.099999999999994</v>
      </c>
      <c r="I130" s="6">
        <v>49.9</v>
      </c>
      <c r="J130" s="4"/>
      <c r="K130" s="4"/>
      <c r="L130" s="4"/>
      <c r="M130" s="4"/>
      <c r="N130" s="4"/>
      <c r="O130" s="4"/>
      <c r="P130" s="4"/>
      <c r="Q130" s="4"/>
      <c r="R130" s="4"/>
      <c r="S130" s="4" t="s">
        <v>114</v>
      </c>
      <c r="T130" s="4" t="s">
        <v>114</v>
      </c>
      <c r="U130" s="4" t="s">
        <v>115</v>
      </c>
      <c r="V130" s="4" t="s">
        <v>115</v>
      </c>
      <c r="W130" s="4"/>
      <c r="X130" s="4"/>
      <c r="Y130" s="4"/>
      <c r="Z130" s="4"/>
      <c r="AA130" s="4"/>
      <c r="AB130" s="4"/>
      <c r="AC130" s="4"/>
      <c r="AD130" s="4"/>
      <c r="AE130" s="4">
        <v>2278</v>
      </c>
      <c r="AF130" s="4">
        <v>196</v>
      </c>
      <c r="AG130" s="4">
        <v>40</v>
      </c>
    </row>
    <row r="131" spans="1:34" ht="13" x14ac:dyDescent="0.3">
      <c r="A131" s="4" t="s">
        <v>33</v>
      </c>
      <c r="B131" s="4">
        <v>523</v>
      </c>
      <c r="C131" s="4" t="s">
        <v>43</v>
      </c>
      <c r="D131" s="5">
        <v>44336</v>
      </c>
      <c r="E131" s="6"/>
      <c r="F131" s="6" t="s">
        <v>35</v>
      </c>
      <c r="G131" s="6" t="s">
        <v>40</v>
      </c>
      <c r="H131" s="6">
        <v>36.1</v>
      </c>
      <c r="I131" s="6">
        <v>27.9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>
        <v>364</v>
      </c>
      <c r="AF131" s="4">
        <v>18</v>
      </c>
      <c r="AG131" s="4">
        <v>1</v>
      </c>
      <c r="AH131" s="14" t="s">
        <v>549</v>
      </c>
    </row>
    <row r="132" spans="1:34" ht="13" x14ac:dyDescent="0.3">
      <c r="A132" s="4" t="s">
        <v>33</v>
      </c>
      <c r="B132" s="4">
        <v>524</v>
      </c>
      <c r="C132" s="4" t="s">
        <v>43</v>
      </c>
      <c r="D132" s="5">
        <v>44336</v>
      </c>
      <c r="E132" s="6"/>
      <c r="F132" s="6" t="s">
        <v>35</v>
      </c>
      <c r="G132" s="6" t="s">
        <v>40</v>
      </c>
      <c r="H132" s="6">
        <v>43</v>
      </c>
      <c r="I132" s="6">
        <v>31.6</v>
      </c>
      <c r="J132" s="4"/>
      <c r="K132" s="4"/>
      <c r="L132" s="4"/>
      <c r="M132" s="4"/>
      <c r="N132" s="4"/>
      <c r="O132" s="4"/>
      <c r="P132" s="4"/>
      <c r="Q132" s="4"/>
      <c r="R132" s="4"/>
      <c r="S132" s="4" t="s">
        <v>116</v>
      </c>
      <c r="T132" s="4" t="s">
        <v>116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>
        <v>518</v>
      </c>
      <c r="AF132" s="4">
        <v>32</v>
      </c>
      <c r="AG132" s="4">
        <v>2</v>
      </c>
      <c r="AH132" s="14" t="s">
        <v>559</v>
      </c>
    </row>
    <row r="133" spans="1:34" ht="13" x14ac:dyDescent="0.3">
      <c r="A133" s="4" t="s">
        <v>33</v>
      </c>
      <c r="B133" s="4">
        <v>526</v>
      </c>
      <c r="C133" s="4" t="s">
        <v>43</v>
      </c>
      <c r="D133" s="5">
        <v>44336</v>
      </c>
      <c r="E133" s="6"/>
      <c r="F133" s="6" t="s">
        <v>35</v>
      </c>
      <c r="G133" s="6" t="s">
        <v>40</v>
      </c>
      <c r="H133" s="6">
        <v>41.5</v>
      </c>
      <c r="I133" s="6">
        <v>30.6</v>
      </c>
      <c r="J133" s="4"/>
      <c r="K133" s="4"/>
      <c r="L133" s="4"/>
      <c r="M133" s="4"/>
      <c r="N133" s="4"/>
      <c r="O133" s="4"/>
      <c r="P133" s="4"/>
      <c r="Q133" s="4"/>
      <c r="R133" s="4"/>
      <c r="S133" s="4">
        <v>5.72</v>
      </c>
      <c r="T133" s="4">
        <v>5.46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>
        <v>498</v>
      </c>
      <c r="AF133" s="4">
        <v>24</v>
      </c>
      <c r="AG133" s="4">
        <v>2</v>
      </c>
    </row>
    <row r="134" spans="1:34" ht="13" x14ac:dyDescent="0.3">
      <c r="A134" s="4" t="s">
        <v>33</v>
      </c>
      <c r="B134" s="4">
        <v>531</v>
      </c>
      <c r="C134" s="4" t="s">
        <v>43</v>
      </c>
      <c r="D134" s="5">
        <v>44336</v>
      </c>
      <c r="E134" s="6"/>
      <c r="F134" s="6" t="s">
        <v>35</v>
      </c>
      <c r="G134" s="6" t="s">
        <v>40</v>
      </c>
      <c r="H134" s="6">
        <v>58.2</v>
      </c>
      <c r="I134" s="6">
        <v>37.9</v>
      </c>
      <c r="J134" s="4"/>
      <c r="K134" s="4"/>
      <c r="L134" s="4"/>
      <c r="M134" s="4"/>
      <c r="N134" s="4"/>
      <c r="O134" s="4"/>
      <c r="P134" s="4"/>
      <c r="Q134" s="4"/>
      <c r="R134" s="4"/>
      <c r="S134" s="4">
        <v>7.1</v>
      </c>
      <c r="T134" s="4">
        <v>7.1</v>
      </c>
      <c r="U134" s="4">
        <v>1.8</v>
      </c>
      <c r="V134" s="4">
        <v>1.8</v>
      </c>
      <c r="W134" s="4"/>
      <c r="X134" s="4"/>
      <c r="Y134" s="4"/>
      <c r="Z134" s="4"/>
      <c r="AA134" s="4"/>
      <c r="AB134" s="4"/>
      <c r="AC134" s="4"/>
      <c r="AD134" s="4"/>
      <c r="AE134" s="4">
        <v>786</v>
      </c>
      <c r="AF134" s="4">
        <v>42</v>
      </c>
      <c r="AG134" s="4">
        <v>2</v>
      </c>
      <c r="AH134" s="14" t="s">
        <v>549</v>
      </c>
    </row>
    <row r="135" spans="1:34" ht="13" x14ac:dyDescent="0.3">
      <c r="A135" s="4" t="s">
        <v>33</v>
      </c>
      <c r="B135" s="4">
        <v>532</v>
      </c>
      <c r="C135" s="4" t="s">
        <v>43</v>
      </c>
      <c r="D135" s="5">
        <v>44336</v>
      </c>
      <c r="E135" s="6"/>
      <c r="F135" s="6" t="s">
        <v>35</v>
      </c>
      <c r="G135" s="6" t="s">
        <v>40</v>
      </c>
      <c r="H135" s="6">
        <v>41.9</v>
      </c>
      <c r="I135" s="6">
        <v>29.1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>
        <v>302</v>
      </c>
      <c r="AF135" s="4">
        <v>14</v>
      </c>
      <c r="AG135" s="4">
        <v>2</v>
      </c>
      <c r="AH135" s="14" t="s">
        <v>560</v>
      </c>
    </row>
    <row r="136" spans="1:34" ht="13" x14ac:dyDescent="0.3">
      <c r="A136" s="4" t="s">
        <v>33</v>
      </c>
      <c r="B136" s="4">
        <v>533</v>
      </c>
      <c r="C136" s="4" t="s">
        <v>43</v>
      </c>
      <c r="D136" s="5">
        <v>44336</v>
      </c>
      <c r="E136" s="6"/>
      <c r="F136" s="6" t="s">
        <v>35</v>
      </c>
      <c r="G136" s="6" t="s">
        <v>40</v>
      </c>
      <c r="H136" s="6">
        <v>44.6</v>
      </c>
      <c r="I136" s="6">
        <v>28.8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>
        <v>398</v>
      </c>
      <c r="AF136" s="4">
        <v>30</v>
      </c>
      <c r="AG136" s="4">
        <v>2</v>
      </c>
    </row>
    <row r="137" spans="1:34" ht="13" x14ac:dyDescent="0.3">
      <c r="A137" s="4" t="s">
        <v>33</v>
      </c>
      <c r="B137" s="4">
        <v>535</v>
      </c>
      <c r="C137" s="4" t="s">
        <v>43</v>
      </c>
      <c r="D137" s="5">
        <v>44336</v>
      </c>
      <c r="E137" s="6"/>
      <c r="F137" s="6" t="s">
        <v>35</v>
      </c>
      <c r="G137" s="6" t="s">
        <v>39</v>
      </c>
      <c r="H137" s="6">
        <v>89.7</v>
      </c>
      <c r="I137" s="6">
        <v>63.4</v>
      </c>
      <c r="J137" s="4"/>
      <c r="K137" s="4"/>
      <c r="L137" s="4"/>
      <c r="M137" s="4"/>
      <c r="N137" s="4"/>
      <c r="O137" s="4"/>
      <c r="P137" s="4"/>
      <c r="Q137" s="4"/>
      <c r="R137" s="4"/>
      <c r="S137" s="4">
        <v>9.9</v>
      </c>
      <c r="T137" s="4">
        <v>8.6300000000000008</v>
      </c>
      <c r="U137" s="4">
        <v>7.34</v>
      </c>
      <c r="V137" s="4">
        <v>7.24</v>
      </c>
      <c r="W137" s="4">
        <v>37</v>
      </c>
      <c r="X137" s="4">
        <v>43</v>
      </c>
      <c r="Y137" s="4"/>
      <c r="Z137" s="4"/>
      <c r="AA137" s="4" t="s">
        <v>120</v>
      </c>
      <c r="AB137" s="4" t="s">
        <v>120</v>
      </c>
      <c r="AC137" s="4"/>
      <c r="AD137" s="4"/>
      <c r="AE137" s="4">
        <v>4094</v>
      </c>
      <c r="AF137" s="4">
        <v>172</v>
      </c>
      <c r="AG137" s="4">
        <v>168</v>
      </c>
    </row>
    <row r="138" spans="1:34" ht="13" x14ac:dyDescent="0.3">
      <c r="A138" s="4" t="s">
        <v>33</v>
      </c>
      <c r="B138" s="4">
        <v>536</v>
      </c>
      <c r="C138" s="4" t="s">
        <v>43</v>
      </c>
      <c r="D138" s="5">
        <v>44336</v>
      </c>
      <c r="E138" s="6"/>
      <c r="F138" s="6" t="s">
        <v>35</v>
      </c>
      <c r="G138" s="6" t="s">
        <v>39</v>
      </c>
      <c r="H138" s="6">
        <v>78.8</v>
      </c>
      <c r="I138" s="6">
        <v>63.5</v>
      </c>
      <c r="J138" s="4"/>
      <c r="K138" s="4"/>
      <c r="L138" s="4"/>
      <c r="M138" s="4"/>
      <c r="N138" s="4"/>
      <c r="O138" s="4"/>
      <c r="P138" s="4"/>
      <c r="Q138" s="4"/>
      <c r="R138" s="4"/>
      <c r="S138" s="4" t="s">
        <v>121</v>
      </c>
      <c r="T138" s="4" t="s">
        <v>122</v>
      </c>
      <c r="U138" s="4" t="s">
        <v>123</v>
      </c>
      <c r="V138" s="4" t="s">
        <v>124</v>
      </c>
      <c r="W138" s="4">
        <v>37</v>
      </c>
      <c r="X138" s="4">
        <v>41</v>
      </c>
      <c r="Y138" s="4">
        <v>5</v>
      </c>
      <c r="Z138" s="4">
        <v>5</v>
      </c>
      <c r="AA138" s="4" t="s">
        <v>125</v>
      </c>
      <c r="AB138" s="4" t="s">
        <v>126</v>
      </c>
      <c r="AC138" s="4"/>
      <c r="AD138" s="4"/>
      <c r="AE138" s="4">
        <v>4101</v>
      </c>
      <c r="AF138" s="4">
        <v>156</v>
      </c>
      <c r="AG138" s="4">
        <v>214</v>
      </c>
      <c r="AH138" s="14" t="s">
        <v>567</v>
      </c>
    </row>
    <row r="139" spans="1:34" ht="13" x14ac:dyDescent="0.3">
      <c r="A139" s="4" t="s">
        <v>33</v>
      </c>
      <c r="B139" s="4">
        <v>538</v>
      </c>
      <c r="C139" s="4" t="s">
        <v>43</v>
      </c>
      <c r="D139" s="5">
        <v>44336</v>
      </c>
      <c r="E139" s="6"/>
      <c r="F139" s="6" t="s">
        <v>35</v>
      </c>
      <c r="G139" s="6" t="s">
        <v>39</v>
      </c>
      <c r="H139" s="6">
        <v>90.3</v>
      </c>
      <c r="I139" s="6">
        <v>63.3</v>
      </c>
      <c r="J139" s="4"/>
      <c r="K139" s="4"/>
      <c r="L139" s="4"/>
      <c r="M139" s="4"/>
      <c r="N139" s="4"/>
      <c r="O139" s="4"/>
      <c r="P139" s="4"/>
      <c r="Q139" s="4"/>
      <c r="R139" s="4"/>
      <c r="S139" s="4" t="s">
        <v>129</v>
      </c>
      <c r="T139" s="4" t="s">
        <v>130</v>
      </c>
      <c r="U139" s="4">
        <v>8.14</v>
      </c>
      <c r="V139" s="4">
        <v>7.93</v>
      </c>
      <c r="W139" s="4"/>
      <c r="X139" s="4"/>
      <c r="Y139" s="4">
        <v>6</v>
      </c>
      <c r="Z139" s="4">
        <v>5</v>
      </c>
      <c r="AA139" s="4">
        <v>3.26</v>
      </c>
      <c r="AB139" s="4">
        <v>2.78</v>
      </c>
      <c r="AC139" s="4"/>
      <c r="AD139" s="4"/>
      <c r="AE139" s="4">
        <v>3998</v>
      </c>
      <c r="AF139" s="4">
        <v>142</v>
      </c>
      <c r="AG139" s="4">
        <v>250</v>
      </c>
    </row>
    <row r="140" spans="1:34" ht="13" x14ac:dyDescent="0.3">
      <c r="A140" s="4" t="s">
        <v>33</v>
      </c>
      <c r="B140" s="4">
        <v>540</v>
      </c>
      <c r="C140" s="4" t="s">
        <v>43</v>
      </c>
      <c r="D140" s="5">
        <v>44336</v>
      </c>
      <c r="E140" s="6"/>
      <c r="F140" s="6" t="s">
        <v>35</v>
      </c>
      <c r="G140" s="6" t="s">
        <v>39</v>
      </c>
      <c r="H140" s="6">
        <v>84.5</v>
      </c>
      <c r="I140" s="6">
        <v>60.1</v>
      </c>
      <c r="J140" s="4"/>
      <c r="K140" s="4"/>
      <c r="L140" s="4"/>
      <c r="M140" s="4"/>
      <c r="N140" s="4"/>
      <c r="O140" s="4"/>
      <c r="P140" s="4"/>
      <c r="Q140" s="4"/>
      <c r="R140" s="4"/>
      <c r="S140" s="4" t="s">
        <v>131</v>
      </c>
      <c r="T140" s="4" t="s">
        <v>132</v>
      </c>
      <c r="U140" s="4" t="s">
        <v>133</v>
      </c>
      <c r="V140" s="4" t="s">
        <v>134</v>
      </c>
      <c r="W140" s="4">
        <v>42</v>
      </c>
      <c r="X140" s="4">
        <v>48</v>
      </c>
      <c r="Y140" s="4"/>
      <c r="Z140" s="4"/>
      <c r="AA140" s="4" t="s">
        <v>135</v>
      </c>
      <c r="AB140" s="4" t="s">
        <v>135</v>
      </c>
      <c r="AC140" s="4"/>
      <c r="AD140" s="4"/>
      <c r="AE140" s="4">
        <v>3410</v>
      </c>
      <c r="AF140" s="4">
        <v>172</v>
      </c>
      <c r="AG140" s="4">
        <v>138</v>
      </c>
    </row>
    <row r="141" spans="1:34" ht="13" x14ac:dyDescent="0.3">
      <c r="A141" s="4" t="s">
        <v>33</v>
      </c>
      <c r="B141" s="4">
        <v>541</v>
      </c>
      <c r="C141" s="4" t="s">
        <v>43</v>
      </c>
      <c r="D141" s="5">
        <v>44336</v>
      </c>
      <c r="E141" s="6"/>
      <c r="F141" s="6" t="s">
        <v>35</v>
      </c>
      <c r="G141" s="6" t="s">
        <v>40</v>
      </c>
      <c r="H141" s="6">
        <v>62.1</v>
      </c>
      <c r="I141" s="6">
        <v>40.700000000000003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>
        <v>720</v>
      </c>
      <c r="AF141" s="4">
        <v>84</v>
      </c>
      <c r="AG141" s="4">
        <v>4</v>
      </c>
      <c r="AH141" s="14" t="s">
        <v>517</v>
      </c>
    </row>
    <row r="142" spans="1:34" ht="13" x14ac:dyDescent="0.3">
      <c r="A142" s="4" t="s">
        <v>33</v>
      </c>
      <c r="B142" s="4">
        <v>543</v>
      </c>
      <c r="C142" s="4" t="s">
        <v>43</v>
      </c>
      <c r="D142" s="5">
        <v>44336</v>
      </c>
      <c r="E142" s="6"/>
      <c r="F142" s="6" t="s">
        <v>35</v>
      </c>
      <c r="G142" s="6" t="s">
        <v>40</v>
      </c>
      <c r="H142" s="6">
        <v>34.6</v>
      </c>
      <c r="I142" s="6">
        <v>21.5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>
        <v>154</v>
      </c>
      <c r="AF142" s="4">
        <v>8</v>
      </c>
      <c r="AG142" s="4">
        <v>4</v>
      </c>
    </row>
    <row r="143" spans="1:34" ht="13" x14ac:dyDescent="0.3">
      <c r="A143" s="4" t="s">
        <v>33</v>
      </c>
      <c r="B143" s="4">
        <v>544</v>
      </c>
      <c r="C143" s="4" t="s">
        <v>43</v>
      </c>
      <c r="D143" s="5">
        <v>44336</v>
      </c>
      <c r="E143" s="6"/>
      <c r="F143" s="6" t="s">
        <v>35</v>
      </c>
      <c r="G143" s="6" t="s">
        <v>39</v>
      </c>
      <c r="H143" s="6">
        <v>92.1</v>
      </c>
      <c r="I143" s="6">
        <v>60.6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>
        <v>3212</v>
      </c>
      <c r="AF143" s="4">
        <v>114</v>
      </c>
      <c r="AG143" s="4">
        <v>112</v>
      </c>
    </row>
    <row r="144" spans="1:34" ht="13" x14ac:dyDescent="0.3">
      <c r="A144" s="4" t="s">
        <v>33</v>
      </c>
      <c r="B144" s="4">
        <v>547</v>
      </c>
      <c r="C144" s="4" t="s">
        <v>43</v>
      </c>
      <c r="D144" s="5">
        <v>44336</v>
      </c>
      <c r="E144" s="6"/>
      <c r="F144" s="6" t="s">
        <v>35</v>
      </c>
      <c r="G144" s="6" t="s">
        <v>39</v>
      </c>
      <c r="H144" s="6">
        <v>66.2</v>
      </c>
      <c r="I144" s="6">
        <v>49.4</v>
      </c>
      <c r="J144" s="4"/>
      <c r="K144" s="4"/>
      <c r="L144" s="4"/>
      <c r="M144" s="4"/>
      <c r="N144" s="4"/>
      <c r="O144" s="4"/>
      <c r="P144" s="4"/>
      <c r="Q144" s="4"/>
      <c r="R144" s="4"/>
      <c r="S144" s="4">
        <v>9.5299999999999994</v>
      </c>
      <c r="T144" s="4">
        <v>8.2200000000000006</v>
      </c>
      <c r="U144" s="4" t="s">
        <v>140</v>
      </c>
      <c r="V144" s="4" t="s">
        <v>125</v>
      </c>
      <c r="W144" s="4">
        <v>34</v>
      </c>
      <c r="X144" s="4">
        <v>36</v>
      </c>
      <c r="Y144" s="4"/>
      <c r="Z144" s="4"/>
      <c r="AA144" s="4">
        <v>0.9</v>
      </c>
      <c r="AB144" s="4">
        <v>0.9</v>
      </c>
      <c r="AC144" s="4"/>
      <c r="AD144" s="4"/>
      <c r="AE144" s="4">
        <v>2234</v>
      </c>
      <c r="AF144" s="4">
        <v>200</v>
      </c>
      <c r="AG144" s="4">
        <v>40</v>
      </c>
      <c r="AH144" s="14" t="s">
        <v>549</v>
      </c>
    </row>
    <row r="145" spans="1:35" ht="13" x14ac:dyDescent="0.3">
      <c r="A145" s="4" t="s">
        <v>33</v>
      </c>
      <c r="B145" s="4">
        <v>549</v>
      </c>
      <c r="C145" s="4" t="s">
        <v>43</v>
      </c>
      <c r="D145" s="5">
        <v>44336</v>
      </c>
      <c r="E145" s="6"/>
      <c r="F145" s="6" t="s">
        <v>35</v>
      </c>
      <c r="G145" s="6" t="s">
        <v>40</v>
      </c>
      <c r="H145" s="6">
        <v>53.1</v>
      </c>
      <c r="I145" s="6">
        <v>32.299999999999997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>
        <v>524</v>
      </c>
      <c r="AF145" s="4">
        <v>30</v>
      </c>
      <c r="AG145" s="4">
        <v>2</v>
      </c>
      <c r="AH145" s="14" t="s">
        <v>549</v>
      </c>
    </row>
    <row r="146" spans="1:35" ht="13" x14ac:dyDescent="0.3">
      <c r="A146" s="4" t="s">
        <v>33</v>
      </c>
      <c r="B146" s="4">
        <v>550</v>
      </c>
      <c r="C146" s="4" t="s">
        <v>43</v>
      </c>
      <c r="D146" s="5">
        <v>44336</v>
      </c>
      <c r="E146" s="6"/>
      <c r="F146" s="6" t="s">
        <v>35</v>
      </c>
      <c r="G146" s="6" t="s">
        <v>39</v>
      </c>
      <c r="H146" s="6">
        <v>73.2</v>
      </c>
      <c r="I146" s="6">
        <v>48.5</v>
      </c>
      <c r="J146" s="4"/>
      <c r="K146" s="4"/>
      <c r="L146" s="4"/>
      <c r="M146" s="4"/>
      <c r="N146" s="4"/>
      <c r="O146" s="4"/>
      <c r="P146" s="4"/>
      <c r="Q146" s="4"/>
      <c r="R146" s="4"/>
      <c r="S146" s="4">
        <v>10</v>
      </c>
      <c r="T146" s="4">
        <v>11.1</v>
      </c>
      <c r="U146" s="4">
        <v>4.2300000000000004</v>
      </c>
      <c r="V146" s="4">
        <v>4</v>
      </c>
      <c r="W146" s="4">
        <v>52</v>
      </c>
      <c r="X146" s="4">
        <v>34</v>
      </c>
      <c r="Y146" s="4"/>
      <c r="Z146" s="4"/>
      <c r="AA146" s="4" t="s">
        <v>143</v>
      </c>
      <c r="AB146" s="4" t="s">
        <v>143</v>
      </c>
      <c r="AC146" s="4"/>
      <c r="AD146" s="4"/>
      <c r="AE146" s="4">
        <v>2314</v>
      </c>
      <c r="AF146" s="4">
        <v>204</v>
      </c>
      <c r="AG146" s="4">
        <v>40</v>
      </c>
    </row>
    <row r="147" spans="1:35" ht="13" x14ac:dyDescent="0.3">
      <c r="A147" s="4" t="s">
        <v>33</v>
      </c>
      <c r="B147" s="4">
        <v>552</v>
      </c>
      <c r="C147" s="4" t="s">
        <v>43</v>
      </c>
      <c r="D147" s="5">
        <v>44336</v>
      </c>
      <c r="E147" s="6"/>
      <c r="F147" s="6" t="s">
        <v>35</v>
      </c>
      <c r="G147" s="6" t="s">
        <v>40</v>
      </c>
      <c r="H147" s="6">
        <v>46</v>
      </c>
      <c r="I147" s="6">
        <v>29.7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>
        <v>396</v>
      </c>
      <c r="AF147" s="4">
        <v>32</v>
      </c>
      <c r="AG147" s="4">
        <v>2</v>
      </c>
    </row>
    <row r="148" spans="1:35" ht="13" x14ac:dyDescent="0.3">
      <c r="A148" s="4" t="s">
        <v>33</v>
      </c>
      <c r="B148" s="4">
        <v>580</v>
      </c>
      <c r="C148" s="4" t="s">
        <v>43</v>
      </c>
      <c r="D148" s="5">
        <v>44361</v>
      </c>
      <c r="E148" s="6"/>
      <c r="F148" s="6" t="s">
        <v>35</v>
      </c>
      <c r="G148" s="6" t="s">
        <v>40</v>
      </c>
      <c r="H148" s="6">
        <v>67.5</v>
      </c>
      <c r="I148" s="6">
        <v>43.6</v>
      </c>
      <c r="J148" s="4"/>
      <c r="K148" s="4"/>
      <c r="L148" s="4"/>
      <c r="M148" s="4"/>
      <c r="N148" s="4"/>
      <c r="O148" s="4"/>
      <c r="P148" s="4"/>
      <c r="Q148" s="4"/>
      <c r="R148" s="4"/>
      <c r="S148" s="4">
        <v>1.05</v>
      </c>
      <c r="T148" s="4">
        <v>1.05</v>
      </c>
      <c r="U148" s="4" t="s">
        <v>150</v>
      </c>
      <c r="V148" s="4" t="s">
        <v>150</v>
      </c>
      <c r="W148" s="4"/>
      <c r="X148" s="4"/>
      <c r="Y148" s="4"/>
      <c r="Z148" s="4"/>
      <c r="AA148" s="4"/>
      <c r="AB148" s="4"/>
      <c r="AC148" s="4"/>
      <c r="AD148" s="4"/>
      <c r="AE148" s="4">
        <v>1390</v>
      </c>
      <c r="AF148" s="4">
        <v>72</v>
      </c>
      <c r="AG148" s="4">
        <v>8</v>
      </c>
      <c r="AH148" s="14" t="s">
        <v>549</v>
      </c>
    </row>
    <row r="149" spans="1:35" ht="13" x14ac:dyDescent="0.3">
      <c r="A149" s="4" t="s">
        <v>33</v>
      </c>
      <c r="B149" s="4">
        <v>582</v>
      </c>
      <c r="C149" s="4" t="s">
        <v>43</v>
      </c>
      <c r="D149" s="5">
        <v>44361</v>
      </c>
      <c r="E149" s="6"/>
      <c r="F149" s="6" t="s">
        <v>35</v>
      </c>
      <c r="G149" s="6" t="s">
        <v>40</v>
      </c>
      <c r="H149" s="6">
        <v>50.3</v>
      </c>
      <c r="I149" s="6">
        <v>33.299999999999997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>
        <v>524</v>
      </c>
      <c r="AF149" s="4">
        <v>24</v>
      </c>
      <c r="AG149" s="4">
        <v>2</v>
      </c>
    </row>
    <row r="150" spans="1:35" ht="13" x14ac:dyDescent="0.3">
      <c r="A150" s="4" t="s">
        <v>33</v>
      </c>
      <c r="B150" s="4">
        <v>592</v>
      </c>
      <c r="C150" s="4" t="s">
        <v>43</v>
      </c>
      <c r="D150" s="5">
        <v>44361</v>
      </c>
      <c r="E150" s="6"/>
      <c r="F150" s="6" t="s">
        <v>35</v>
      </c>
      <c r="G150" s="6" t="s">
        <v>39</v>
      </c>
      <c r="H150" s="6">
        <v>72.2</v>
      </c>
      <c r="I150" s="6">
        <v>50.1</v>
      </c>
      <c r="J150" s="4"/>
      <c r="K150" s="4"/>
      <c r="L150" s="4"/>
      <c r="M150" s="4"/>
      <c r="N150" s="4"/>
      <c r="O150" s="4"/>
      <c r="P150" s="4"/>
      <c r="Q150" s="4"/>
      <c r="R150" s="4"/>
      <c r="S150" s="4">
        <v>13.64</v>
      </c>
      <c r="T150" s="4">
        <v>13.05</v>
      </c>
      <c r="U150" s="4" t="s">
        <v>169</v>
      </c>
      <c r="V150" s="4" t="s">
        <v>170</v>
      </c>
      <c r="W150" s="4"/>
      <c r="X150" s="4"/>
      <c r="Y150" s="4">
        <v>5</v>
      </c>
      <c r="Z150" s="4">
        <v>2</v>
      </c>
      <c r="AA150" s="4">
        <v>1.23</v>
      </c>
      <c r="AB150" s="4">
        <v>1.23</v>
      </c>
      <c r="AC150" s="4"/>
      <c r="AD150" s="4"/>
      <c r="AE150" s="4">
        <v>2326</v>
      </c>
      <c r="AF150" s="4">
        <v>164</v>
      </c>
      <c r="AG150" s="4">
        <v>54</v>
      </c>
    </row>
    <row r="151" spans="1:35" ht="13" x14ac:dyDescent="0.3">
      <c r="A151" s="4" t="s">
        <v>33</v>
      </c>
      <c r="B151" s="4">
        <v>597</v>
      </c>
      <c r="C151" s="4" t="s">
        <v>43</v>
      </c>
      <c r="D151" s="5">
        <v>44361</v>
      </c>
      <c r="E151" s="6"/>
      <c r="F151" s="6" t="s">
        <v>35</v>
      </c>
      <c r="G151" s="6" t="s">
        <v>40</v>
      </c>
      <c r="H151" s="6">
        <v>69.3</v>
      </c>
      <c r="I151" s="6">
        <v>44.1</v>
      </c>
      <c r="J151" s="4"/>
      <c r="K151" s="4"/>
      <c r="L151" s="4"/>
      <c r="M151" s="4"/>
      <c r="N151" s="4"/>
      <c r="O151" s="4"/>
      <c r="P151" s="4"/>
      <c r="Q151" s="4"/>
      <c r="R151" s="4"/>
      <c r="S151" s="4">
        <v>10.99</v>
      </c>
      <c r="T151" s="4">
        <v>9.99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>
        <v>1224</v>
      </c>
      <c r="AF151" s="4">
        <v>62</v>
      </c>
      <c r="AG151" s="4">
        <v>14</v>
      </c>
    </row>
    <row r="152" spans="1:35" ht="13" x14ac:dyDescent="0.3">
      <c r="A152" s="4" t="s">
        <v>33</v>
      </c>
      <c r="B152" s="4">
        <v>601</v>
      </c>
      <c r="C152" s="4" t="s">
        <v>43</v>
      </c>
      <c r="D152" s="5">
        <v>44361</v>
      </c>
      <c r="E152" s="6"/>
      <c r="F152" s="6" t="s">
        <v>35</v>
      </c>
      <c r="G152" s="6" t="s">
        <v>40</v>
      </c>
      <c r="H152" s="6">
        <v>66.099999999999994</v>
      </c>
      <c r="I152" s="6">
        <v>51.3</v>
      </c>
      <c r="J152" s="4"/>
      <c r="K152" s="4"/>
      <c r="L152" s="4"/>
      <c r="M152" s="4"/>
      <c r="N152" s="4"/>
      <c r="O152" s="4"/>
      <c r="P152" s="4"/>
      <c r="Q152" s="4"/>
      <c r="R152" s="4"/>
      <c r="S152" s="4">
        <v>11.43</v>
      </c>
      <c r="T152" s="4">
        <v>11.26</v>
      </c>
      <c r="U152" s="4" t="s">
        <v>183</v>
      </c>
      <c r="V152" s="4" t="s">
        <v>184</v>
      </c>
      <c r="W152" s="4"/>
      <c r="X152" s="4"/>
      <c r="Y152" s="4"/>
      <c r="Z152" s="4"/>
      <c r="AA152" s="4"/>
      <c r="AB152" s="4"/>
      <c r="AC152" s="4"/>
      <c r="AD152" s="4"/>
      <c r="AE152" s="4">
        <v>1838</v>
      </c>
      <c r="AF152" s="4">
        <v>84</v>
      </c>
      <c r="AG152" s="4">
        <v>46</v>
      </c>
    </row>
    <row r="153" spans="1:35" ht="13" x14ac:dyDescent="0.3">
      <c r="A153" s="4" t="s">
        <v>33</v>
      </c>
      <c r="B153" s="4">
        <v>611</v>
      </c>
      <c r="C153" s="4" t="s">
        <v>43</v>
      </c>
      <c r="D153" s="5">
        <v>44236</v>
      </c>
      <c r="E153" s="6"/>
      <c r="F153" s="6" t="s">
        <v>35</v>
      </c>
      <c r="G153" s="6" t="s">
        <v>40</v>
      </c>
      <c r="H153" s="6">
        <v>13.2</v>
      </c>
      <c r="I153" s="6">
        <v>8.8000000000000007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5" ht="13" x14ac:dyDescent="0.3">
      <c r="A154" s="4" t="s">
        <v>33</v>
      </c>
      <c r="B154" s="4">
        <v>634</v>
      </c>
      <c r="C154" s="4" t="s">
        <v>43</v>
      </c>
      <c r="D154" s="5">
        <v>44403</v>
      </c>
      <c r="E154" s="6">
        <v>21.9</v>
      </c>
      <c r="F154" s="6" t="s">
        <v>35</v>
      </c>
      <c r="G154" s="6" t="s">
        <v>40</v>
      </c>
      <c r="H154" s="6">
        <v>78</v>
      </c>
      <c r="I154" s="6">
        <v>55.6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 t="s">
        <v>201</v>
      </c>
      <c r="AF154" s="4" t="s">
        <v>201</v>
      </c>
      <c r="AG154" s="4" t="s">
        <v>201</v>
      </c>
    </row>
    <row r="155" spans="1:35" ht="13" x14ac:dyDescent="0.3">
      <c r="A155" s="4" t="s">
        <v>33</v>
      </c>
      <c r="B155" s="4">
        <v>638</v>
      </c>
      <c r="C155" s="4" t="s">
        <v>43</v>
      </c>
      <c r="D155" s="5">
        <v>44256</v>
      </c>
      <c r="E155" s="6"/>
      <c r="F155" s="6" t="s">
        <v>35</v>
      </c>
      <c r="G155" s="6" t="s">
        <v>40</v>
      </c>
      <c r="H155" s="6">
        <v>15.8</v>
      </c>
      <c r="I155" s="6">
        <v>9.5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5" ht="13" x14ac:dyDescent="0.3">
      <c r="A156" s="4" t="s">
        <v>33</v>
      </c>
      <c r="B156" s="4">
        <v>639</v>
      </c>
      <c r="C156" s="4" t="s">
        <v>43</v>
      </c>
      <c r="D156" s="5">
        <v>44256</v>
      </c>
      <c r="E156" s="6"/>
      <c r="F156" s="6" t="s">
        <v>35</v>
      </c>
      <c r="G156" s="6" t="s">
        <v>40</v>
      </c>
      <c r="H156" s="6">
        <v>15.9</v>
      </c>
      <c r="I156" s="6">
        <v>10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>
        <v>12</v>
      </c>
      <c r="AF156" s="4"/>
      <c r="AG156" s="4"/>
    </row>
    <row r="157" spans="1:35" ht="13" x14ac:dyDescent="0.3">
      <c r="A157" s="4" t="s">
        <v>33</v>
      </c>
      <c r="B157" s="4">
        <v>641</v>
      </c>
      <c r="C157" s="4" t="s">
        <v>43</v>
      </c>
      <c r="D157" s="5">
        <v>44438</v>
      </c>
      <c r="E157" s="6">
        <v>21.9</v>
      </c>
      <c r="F157" s="6" t="s">
        <v>35</v>
      </c>
      <c r="G157" s="6" t="s">
        <v>39</v>
      </c>
      <c r="H157" s="6">
        <v>84.4</v>
      </c>
      <c r="I157" s="6">
        <v>62.7</v>
      </c>
      <c r="J157" s="4"/>
      <c r="K157" s="4"/>
      <c r="L157" s="4"/>
      <c r="M157" s="4"/>
      <c r="N157" s="4"/>
      <c r="O157" s="4"/>
      <c r="P157" s="4"/>
      <c r="Q157" s="4"/>
      <c r="R157" s="4"/>
      <c r="S157" s="4">
        <v>12.1</v>
      </c>
      <c r="T157" s="4">
        <v>14.6</v>
      </c>
      <c r="U157" s="4"/>
      <c r="V157" s="4">
        <v>5.5</v>
      </c>
      <c r="W157" s="4">
        <v>20</v>
      </c>
      <c r="X157" s="4">
        <v>22</v>
      </c>
      <c r="Y157" s="4"/>
      <c r="Z157" s="4"/>
      <c r="AA157" s="4"/>
      <c r="AB157" s="4"/>
      <c r="AC157" s="4"/>
      <c r="AD157" s="4"/>
      <c r="AE157" s="4">
        <v>3628</v>
      </c>
      <c r="AF157" s="4">
        <v>188</v>
      </c>
      <c r="AG157" s="4">
        <v>94</v>
      </c>
      <c r="AH157" s="14" t="s">
        <v>577</v>
      </c>
    </row>
    <row r="158" spans="1:35" ht="13" x14ac:dyDescent="0.3">
      <c r="A158" s="4" t="s">
        <v>33</v>
      </c>
      <c r="B158" s="4">
        <v>642</v>
      </c>
      <c r="C158" s="4" t="s">
        <v>43</v>
      </c>
      <c r="D158" s="5">
        <v>44438</v>
      </c>
      <c r="E158" s="6">
        <v>40</v>
      </c>
      <c r="F158" s="6" t="s">
        <v>35</v>
      </c>
      <c r="G158" s="6" t="s">
        <v>39</v>
      </c>
      <c r="H158" s="6">
        <v>92.5</v>
      </c>
      <c r="I158" s="6">
        <v>64.3</v>
      </c>
      <c r="J158" s="4"/>
      <c r="K158" s="4"/>
      <c r="L158" s="4"/>
      <c r="M158" s="4"/>
      <c r="N158" s="4"/>
      <c r="O158" s="4"/>
      <c r="P158" s="4"/>
      <c r="Q158" s="4"/>
      <c r="R158" s="4"/>
      <c r="S158" s="4">
        <v>9.17</v>
      </c>
      <c r="T158" s="4">
        <v>10.7</v>
      </c>
      <c r="U158" s="4">
        <v>4.9000000000000004</v>
      </c>
      <c r="V158" s="4">
        <v>4.57</v>
      </c>
      <c r="W158" s="4">
        <v>31</v>
      </c>
      <c r="X158" s="4">
        <v>42</v>
      </c>
      <c r="Y158" s="4"/>
      <c r="Z158" s="4"/>
      <c r="AA158" s="4"/>
      <c r="AB158" s="4"/>
      <c r="AC158" s="4"/>
      <c r="AD158" s="4"/>
      <c r="AE158" s="4">
        <v>3300</v>
      </c>
      <c r="AF158" s="4">
        <v>216</v>
      </c>
      <c r="AG158" s="4">
        <v>76</v>
      </c>
      <c r="AI158" s="14"/>
    </row>
    <row r="159" spans="1:35" ht="13" x14ac:dyDescent="0.3">
      <c r="A159" s="4" t="s">
        <v>33</v>
      </c>
      <c r="B159" s="4">
        <v>650</v>
      </c>
      <c r="C159" s="4" t="s">
        <v>36</v>
      </c>
      <c r="D159" s="5" t="s">
        <v>204</v>
      </c>
      <c r="E159" s="6">
        <v>20</v>
      </c>
      <c r="F159" s="6" t="s">
        <v>35</v>
      </c>
      <c r="G159" s="6" t="s">
        <v>39</v>
      </c>
      <c r="H159" s="6">
        <v>71.7</v>
      </c>
      <c r="I159" s="6">
        <v>56.5</v>
      </c>
      <c r="J159" s="4"/>
      <c r="K159" s="4"/>
      <c r="L159" s="4"/>
      <c r="M159" s="4"/>
      <c r="N159" s="4"/>
      <c r="O159" s="4"/>
      <c r="P159" s="4"/>
      <c r="Q159" s="4"/>
      <c r="R159" s="4"/>
      <c r="S159" s="4">
        <v>9.91</v>
      </c>
      <c r="T159" s="4">
        <v>9.61</v>
      </c>
      <c r="U159" s="4" t="s">
        <v>215</v>
      </c>
      <c r="V159" s="4" t="s">
        <v>216</v>
      </c>
      <c r="W159" s="4">
        <v>15</v>
      </c>
      <c r="X159" s="4">
        <v>18</v>
      </c>
      <c r="Y159" s="4">
        <v>5</v>
      </c>
      <c r="Z159" s="4">
        <v>4</v>
      </c>
      <c r="AA159" s="4"/>
      <c r="AB159" s="4"/>
      <c r="AC159" s="4"/>
      <c r="AD159" s="4"/>
      <c r="AE159" s="4">
        <v>2.8119999999999998</v>
      </c>
      <c r="AF159" s="4">
        <v>148</v>
      </c>
      <c r="AG159" s="4">
        <v>82</v>
      </c>
      <c r="AH159" s="14" t="s">
        <v>524</v>
      </c>
    </row>
    <row r="160" spans="1:35" ht="13" x14ac:dyDescent="0.3">
      <c r="A160" s="4" t="s">
        <v>33</v>
      </c>
      <c r="B160" s="4">
        <v>651</v>
      </c>
      <c r="C160" s="4" t="s">
        <v>36</v>
      </c>
      <c r="D160" s="5" t="s">
        <v>204</v>
      </c>
      <c r="E160" s="6">
        <v>20</v>
      </c>
      <c r="F160" s="6" t="s">
        <v>35</v>
      </c>
      <c r="G160" s="6" t="s">
        <v>39</v>
      </c>
      <c r="H160" s="6">
        <v>89.3</v>
      </c>
      <c r="I160" s="6">
        <v>65.3</v>
      </c>
      <c r="J160" s="4"/>
      <c r="K160" s="4"/>
      <c r="L160" s="4"/>
      <c r="M160" s="4"/>
      <c r="N160" s="4"/>
      <c r="O160" s="4"/>
      <c r="P160" s="4"/>
      <c r="Q160" s="4"/>
      <c r="R160" s="4"/>
      <c r="S160" s="4">
        <v>11.9</v>
      </c>
      <c r="T160" s="4">
        <v>13.5</v>
      </c>
      <c r="U160" s="4">
        <v>6.4</v>
      </c>
      <c r="V160" s="4">
        <v>5.6</v>
      </c>
      <c r="W160" s="4">
        <v>32</v>
      </c>
      <c r="X160" s="4">
        <v>38</v>
      </c>
      <c r="Y160" s="4"/>
      <c r="Z160" s="4"/>
      <c r="AA160" s="4" t="s">
        <v>217</v>
      </c>
      <c r="AB160" s="4"/>
      <c r="AC160" s="4"/>
      <c r="AD160" s="4"/>
      <c r="AE160" s="4">
        <v>3.9660000000000002</v>
      </c>
      <c r="AF160" s="4">
        <v>0.20200000000000001</v>
      </c>
      <c r="AG160" s="4">
        <v>9.1999999999999998E-2</v>
      </c>
    </row>
    <row r="161" spans="1:34" ht="13" x14ac:dyDescent="0.3">
      <c r="A161" s="4" t="s">
        <v>33</v>
      </c>
      <c r="B161" s="4">
        <v>652</v>
      </c>
      <c r="C161" s="4" t="s">
        <v>36</v>
      </c>
      <c r="D161" s="5" t="s">
        <v>204</v>
      </c>
      <c r="E161" s="6">
        <v>20</v>
      </c>
      <c r="F161" s="6" t="s">
        <v>35</v>
      </c>
      <c r="G161" s="6" t="s">
        <v>39</v>
      </c>
      <c r="H161" s="6">
        <v>85.5</v>
      </c>
      <c r="I161" s="6">
        <v>57.7</v>
      </c>
      <c r="J161" s="4"/>
      <c r="K161" s="4"/>
      <c r="L161" s="4"/>
      <c r="M161" s="4"/>
      <c r="N161" s="4"/>
      <c r="O161" s="4"/>
      <c r="P161" s="4"/>
      <c r="Q161" s="4"/>
      <c r="R161" s="4"/>
      <c r="S161" s="4">
        <v>9.9</v>
      </c>
      <c r="T161" s="4">
        <v>9.76</v>
      </c>
      <c r="U161" s="4">
        <v>5.55</v>
      </c>
      <c r="V161" s="4">
        <v>4.87</v>
      </c>
      <c r="W161" s="4">
        <v>44</v>
      </c>
      <c r="X161" s="4">
        <v>43</v>
      </c>
      <c r="Y161" s="4"/>
      <c r="Z161" s="4"/>
      <c r="AA161" s="4">
        <v>1.65</v>
      </c>
      <c r="AB161" s="4">
        <v>1.65</v>
      </c>
      <c r="AC161" s="4"/>
      <c r="AD161" s="4"/>
      <c r="AE161" s="4">
        <v>2.8340000000000001</v>
      </c>
      <c r="AF161" s="4">
        <v>0.11600000000000001</v>
      </c>
      <c r="AG161" s="4">
        <v>6.6000000000000003E-2</v>
      </c>
    </row>
    <row r="162" spans="1:34" ht="13" x14ac:dyDescent="0.3">
      <c r="A162" s="4" t="s">
        <v>33</v>
      </c>
      <c r="B162" s="4">
        <v>653</v>
      </c>
      <c r="C162" s="4" t="s">
        <v>43</v>
      </c>
      <c r="D162" s="5">
        <v>44438</v>
      </c>
      <c r="E162" s="6">
        <v>20</v>
      </c>
      <c r="F162" s="6" t="s">
        <v>35</v>
      </c>
      <c r="G162" s="6" t="s">
        <v>39</v>
      </c>
      <c r="H162" s="6">
        <v>82.7</v>
      </c>
      <c r="I162" s="6">
        <v>54.9</v>
      </c>
      <c r="J162" s="4"/>
      <c r="K162" s="4"/>
      <c r="L162" s="4"/>
      <c r="M162" s="4"/>
      <c r="N162" s="4"/>
      <c r="O162" s="4"/>
      <c r="P162" s="4"/>
      <c r="Q162" s="4"/>
      <c r="R162" s="4"/>
      <c r="S162" s="4">
        <v>11.5</v>
      </c>
      <c r="T162" s="4">
        <v>10.3</v>
      </c>
      <c r="U162" s="4">
        <v>5.8</v>
      </c>
      <c r="V162" s="4">
        <v>5.8</v>
      </c>
      <c r="W162" s="4">
        <v>32</v>
      </c>
      <c r="X162" s="4">
        <v>30</v>
      </c>
      <c r="Y162" s="4"/>
      <c r="Z162" s="4"/>
      <c r="AA162" s="4" t="s">
        <v>218</v>
      </c>
      <c r="AB162" s="4"/>
      <c r="AC162" s="4"/>
      <c r="AD162" s="4"/>
      <c r="AE162" s="4">
        <v>3130</v>
      </c>
      <c r="AF162" s="4">
        <v>216</v>
      </c>
      <c r="AG162" s="4">
        <v>90</v>
      </c>
    </row>
    <row r="163" spans="1:34" ht="13" x14ac:dyDescent="0.3">
      <c r="A163" s="4" t="s">
        <v>33</v>
      </c>
      <c r="B163" s="4">
        <v>654</v>
      </c>
      <c r="C163" s="4" t="s">
        <v>43</v>
      </c>
      <c r="D163" s="5">
        <v>44438</v>
      </c>
      <c r="E163" s="6">
        <v>40</v>
      </c>
      <c r="F163" s="6" t="s">
        <v>35</v>
      </c>
      <c r="G163" s="6" t="s">
        <v>39</v>
      </c>
      <c r="H163" s="6">
        <v>73.400000000000006</v>
      </c>
      <c r="I163" s="6">
        <v>49.2</v>
      </c>
      <c r="J163" s="4"/>
      <c r="K163" s="4"/>
      <c r="L163" s="4"/>
      <c r="M163" s="4"/>
      <c r="N163" s="4"/>
      <c r="O163" s="4"/>
      <c r="P163" s="4"/>
      <c r="Q163" s="4"/>
      <c r="R163" s="4"/>
      <c r="S163" s="4">
        <v>9.4</v>
      </c>
      <c r="T163" s="4">
        <v>7.6</v>
      </c>
      <c r="U163" s="4">
        <v>5.4</v>
      </c>
      <c r="V163" s="4">
        <v>5.5</v>
      </c>
      <c r="W163" s="4">
        <v>46</v>
      </c>
      <c r="X163" s="4">
        <v>38</v>
      </c>
      <c r="Y163" s="4"/>
      <c r="Z163" s="4"/>
      <c r="AA163" s="4" t="s">
        <v>219</v>
      </c>
      <c r="AB163" s="4"/>
      <c r="AC163" s="4"/>
      <c r="AD163" s="4"/>
      <c r="AE163" s="4">
        <v>2920</v>
      </c>
      <c r="AF163" s="4">
        <v>176</v>
      </c>
      <c r="AG163" s="4">
        <v>70</v>
      </c>
      <c r="AH163" s="14" t="s">
        <v>577</v>
      </c>
    </row>
    <row r="164" spans="1:34" ht="13" x14ac:dyDescent="0.3">
      <c r="A164" s="4" t="s">
        <v>33</v>
      </c>
      <c r="B164" s="4">
        <v>668</v>
      </c>
      <c r="C164" s="4" t="s">
        <v>43</v>
      </c>
      <c r="D164" s="5">
        <v>44438</v>
      </c>
      <c r="E164" s="6">
        <v>40</v>
      </c>
      <c r="F164" s="6" t="s">
        <v>35</v>
      </c>
      <c r="G164" s="6" t="s">
        <v>39</v>
      </c>
      <c r="H164" s="6">
        <v>62.2</v>
      </c>
      <c r="I164" s="6">
        <v>52.1</v>
      </c>
      <c r="J164" s="4"/>
      <c r="K164" s="4"/>
      <c r="L164" s="4"/>
      <c r="M164" s="4"/>
      <c r="N164" s="4"/>
      <c r="O164" s="4"/>
      <c r="P164" s="4"/>
      <c r="Q164" s="4"/>
      <c r="R164" s="4"/>
      <c r="S164" s="4">
        <v>7.9</v>
      </c>
      <c r="T164" s="4">
        <v>8.4</v>
      </c>
      <c r="U164" s="4">
        <v>4.9000000000000004</v>
      </c>
      <c r="V164" s="4">
        <v>4.8</v>
      </c>
      <c r="W164" s="4">
        <v>38</v>
      </c>
      <c r="X164" s="4">
        <v>32</v>
      </c>
      <c r="Y164" s="4"/>
      <c r="Z164" s="4"/>
      <c r="AA164" s="4" t="s">
        <v>249</v>
      </c>
      <c r="AB164" s="4"/>
      <c r="AC164" s="4"/>
      <c r="AD164" s="4"/>
      <c r="AE164" s="4">
        <v>2212</v>
      </c>
      <c r="AF164" s="4">
        <v>64</v>
      </c>
      <c r="AG164" s="4">
        <v>58</v>
      </c>
      <c r="AH164" s="14" t="s">
        <v>524</v>
      </c>
    </row>
    <row r="165" spans="1:34" ht="13" x14ac:dyDescent="0.3">
      <c r="A165" s="4" t="s">
        <v>33</v>
      </c>
      <c r="B165" s="4">
        <v>685</v>
      </c>
      <c r="C165" s="4" t="s">
        <v>43</v>
      </c>
      <c r="D165" s="5">
        <v>44438</v>
      </c>
      <c r="E165" s="6">
        <v>20</v>
      </c>
      <c r="F165" s="6" t="s">
        <v>35</v>
      </c>
      <c r="G165" s="6" t="s">
        <v>40</v>
      </c>
      <c r="H165" s="6">
        <v>69.8</v>
      </c>
      <c r="I165" s="6">
        <v>48</v>
      </c>
      <c r="J165" s="4"/>
      <c r="K165" s="4"/>
      <c r="L165" s="4"/>
      <c r="M165" s="4"/>
      <c r="N165" s="4"/>
      <c r="O165" s="4"/>
      <c r="P165" s="4"/>
      <c r="Q165" s="4"/>
      <c r="R165" s="4"/>
      <c r="S165" s="4">
        <v>9.1999999999999993</v>
      </c>
      <c r="T165" s="4">
        <v>8.6</v>
      </c>
      <c r="U165" s="4" t="s">
        <v>275</v>
      </c>
      <c r="V165" s="4" t="s">
        <v>276</v>
      </c>
      <c r="W165" s="4">
        <v>49</v>
      </c>
      <c r="X165" s="4">
        <v>42</v>
      </c>
      <c r="Y165" s="4"/>
      <c r="Z165" s="4"/>
      <c r="AA165" s="4" t="s">
        <v>277</v>
      </c>
      <c r="AB165" s="4" t="s">
        <v>278</v>
      </c>
      <c r="AC165" s="4"/>
      <c r="AD165" s="4"/>
      <c r="AE165" s="4">
        <v>1980</v>
      </c>
      <c r="AF165" s="4">
        <v>130</v>
      </c>
      <c r="AG165" s="4">
        <v>42</v>
      </c>
    </row>
    <row r="166" spans="1:34" ht="13" x14ac:dyDescent="0.3">
      <c r="A166" s="4" t="s">
        <v>33</v>
      </c>
      <c r="B166" s="4">
        <v>688</v>
      </c>
      <c r="C166" s="4" t="s">
        <v>43</v>
      </c>
      <c r="D166" s="5">
        <v>44438</v>
      </c>
      <c r="E166" s="6">
        <v>20</v>
      </c>
      <c r="F166" s="6" t="s">
        <v>35</v>
      </c>
      <c r="G166" s="6" t="s">
        <v>39</v>
      </c>
      <c r="H166" s="6">
        <v>83</v>
      </c>
      <c r="I166" s="6">
        <v>53.6</v>
      </c>
      <c r="J166" s="4"/>
      <c r="K166" s="4"/>
      <c r="L166" s="4"/>
      <c r="M166" s="4"/>
      <c r="N166" s="4"/>
      <c r="O166" s="4"/>
      <c r="P166" s="4"/>
      <c r="Q166" s="4"/>
      <c r="R166" s="4"/>
      <c r="S166" s="4">
        <v>9.9</v>
      </c>
      <c r="T166" s="4">
        <v>9.6</v>
      </c>
      <c r="U166" s="4">
        <v>4.5</v>
      </c>
      <c r="V166" s="4">
        <v>4.7</v>
      </c>
      <c r="W166" s="4">
        <v>33</v>
      </c>
      <c r="X166" s="4">
        <v>20</v>
      </c>
      <c r="Y166" s="4"/>
      <c r="Z166" s="4"/>
      <c r="AA166" s="4" t="s">
        <v>281</v>
      </c>
      <c r="AB166" s="4" t="s">
        <v>281</v>
      </c>
      <c r="AC166" s="4"/>
      <c r="AD166" s="4"/>
      <c r="AE166" s="4">
        <v>2222</v>
      </c>
      <c r="AF166" s="4">
        <v>160</v>
      </c>
      <c r="AG166" s="4">
        <v>58</v>
      </c>
    </row>
    <row r="167" spans="1:34" ht="13" x14ac:dyDescent="0.3">
      <c r="A167" s="4" t="s">
        <v>33</v>
      </c>
      <c r="B167" s="4">
        <v>691</v>
      </c>
      <c r="C167" s="4" t="s">
        <v>43</v>
      </c>
      <c r="D167" s="5">
        <v>44438</v>
      </c>
      <c r="E167" s="6">
        <v>20</v>
      </c>
      <c r="F167" s="6" t="s">
        <v>35</v>
      </c>
      <c r="G167" s="6" t="s">
        <v>39</v>
      </c>
      <c r="H167" s="6">
        <v>74.099999999999994</v>
      </c>
      <c r="I167" s="6">
        <v>56.2</v>
      </c>
      <c r="J167" s="4"/>
      <c r="K167" s="4"/>
      <c r="L167" s="4"/>
      <c r="M167" s="4"/>
      <c r="N167" s="4"/>
      <c r="O167" s="4"/>
      <c r="P167" s="4"/>
      <c r="Q167" s="4"/>
      <c r="R167" s="4"/>
      <c r="S167" s="4">
        <v>9.9</v>
      </c>
      <c r="T167" s="4">
        <v>9.59</v>
      </c>
      <c r="U167" s="4">
        <v>5.2</v>
      </c>
      <c r="V167" s="4">
        <v>4.88</v>
      </c>
      <c r="W167" s="4">
        <v>64</v>
      </c>
      <c r="X167" s="4">
        <v>47</v>
      </c>
      <c r="Y167" s="4"/>
      <c r="Z167" s="4"/>
      <c r="AA167" s="4" t="s">
        <v>286</v>
      </c>
      <c r="AB167" s="4" t="s">
        <v>286</v>
      </c>
      <c r="AC167" s="4"/>
      <c r="AD167" s="4"/>
      <c r="AE167" s="4">
        <v>2886</v>
      </c>
      <c r="AF167" s="4">
        <v>202</v>
      </c>
      <c r="AG167" s="4">
        <v>76</v>
      </c>
    </row>
    <row r="168" spans="1:34" ht="13" x14ac:dyDescent="0.3">
      <c r="A168" s="4" t="s">
        <v>33</v>
      </c>
      <c r="B168" s="4">
        <v>748</v>
      </c>
      <c r="C168" s="4" t="s">
        <v>34</v>
      </c>
      <c r="D168" s="5">
        <v>44256</v>
      </c>
      <c r="E168" s="6" t="s">
        <v>301</v>
      </c>
      <c r="F168" s="6" t="s">
        <v>35</v>
      </c>
      <c r="G168" s="6" t="s">
        <v>40</v>
      </c>
      <c r="H168" s="6">
        <v>15</v>
      </c>
      <c r="I168" s="6">
        <v>9.8000000000000007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4" ht="13" x14ac:dyDescent="0.3">
      <c r="A169" s="4" t="s">
        <v>33</v>
      </c>
      <c r="B169" s="4">
        <v>844</v>
      </c>
      <c r="C169" s="4" t="s">
        <v>303</v>
      </c>
      <c r="D169" s="5">
        <v>44480</v>
      </c>
      <c r="E169" s="6">
        <v>40</v>
      </c>
      <c r="F169" s="6" t="s">
        <v>35</v>
      </c>
      <c r="G169" s="6" t="s">
        <v>39</v>
      </c>
      <c r="H169" s="6">
        <v>93</v>
      </c>
      <c r="I169" s="6">
        <v>61.1</v>
      </c>
      <c r="J169" s="4" t="s">
        <v>201</v>
      </c>
      <c r="K169" s="4" t="s">
        <v>201</v>
      </c>
      <c r="L169" s="4" t="s">
        <v>201</v>
      </c>
      <c r="M169" s="4" t="s">
        <v>201</v>
      </c>
      <c r="N169" s="4" t="s">
        <v>201</v>
      </c>
      <c r="O169" s="4" t="s">
        <v>201</v>
      </c>
      <c r="P169" s="4" t="s">
        <v>201</v>
      </c>
      <c r="Q169" s="4" t="s">
        <v>201</v>
      </c>
      <c r="R169" s="4" t="s">
        <v>201</v>
      </c>
      <c r="S169" s="4">
        <v>12.8</v>
      </c>
      <c r="T169" s="4">
        <v>11.24</v>
      </c>
      <c r="U169" s="4">
        <v>5.27</v>
      </c>
      <c r="V169" s="4">
        <v>5.3</v>
      </c>
      <c r="W169" s="4">
        <v>53</v>
      </c>
      <c r="X169" s="4">
        <v>42</v>
      </c>
      <c r="Y169" s="4">
        <v>2</v>
      </c>
      <c r="Z169" s="4" t="s">
        <v>201</v>
      </c>
      <c r="AA169" s="4" t="s">
        <v>306</v>
      </c>
      <c r="AB169" s="4" t="s">
        <v>201</v>
      </c>
      <c r="AC169" s="4"/>
      <c r="AD169" s="4"/>
      <c r="AE169" s="4">
        <v>3360</v>
      </c>
      <c r="AF169" s="4">
        <v>202</v>
      </c>
      <c r="AG169" s="4">
        <v>96</v>
      </c>
    </row>
    <row r="170" spans="1:34" ht="13" x14ac:dyDescent="0.3">
      <c r="A170" s="4" t="s">
        <v>33</v>
      </c>
      <c r="B170" s="4">
        <v>850</v>
      </c>
      <c r="C170" s="4" t="s">
        <v>303</v>
      </c>
      <c r="D170" s="5">
        <v>44480</v>
      </c>
      <c r="E170" s="6">
        <v>40</v>
      </c>
      <c r="F170" s="6" t="s">
        <v>35</v>
      </c>
      <c r="G170" s="6" t="s">
        <v>39</v>
      </c>
      <c r="H170" s="6">
        <v>79</v>
      </c>
      <c r="I170" s="6">
        <v>52.6</v>
      </c>
      <c r="J170" s="4" t="s">
        <v>201</v>
      </c>
      <c r="K170" s="4" t="s">
        <v>201</v>
      </c>
      <c r="L170" s="4" t="s">
        <v>201</v>
      </c>
      <c r="M170" s="4" t="s">
        <v>201</v>
      </c>
      <c r="N170" s="4" t="s">
        <v>201</v>
      </c>
      <c r="O170" s="4" t="s">
        <v>201</v>
      </c>
      <c r="P170" s="4" t="s">
        <v>201</v>
      </c>
      <c r="Q170" s="4" t="s">
        <v>201</v>
      </c>
      <c r="R170" s="4" t="s">
        <v>201</v>
      </c>
      <c r="S170" s="4">
        <v>13.25</v>
      </c>
      <c r="T170" s="4">
        <v>12.72</v>
      </c>
      <c r="U170" s="4">
        <v>4.34</v>
      </c>
      <c r="V170" s="4">
        <v>4.41</v>
      </c>
      <c r="W170" s="4">
        <v>89</v>
      </c>
      <c r="X170" s="4">
        <v>86</v>
      </c>
      <c r="Y170" s="4">
        <v>3</v>
      </c>
      <c r="Z170" s="4">
        <v>5</v>
      </c>
      <c r="AA170" s="4" t="s">
        <v>201</v>
      </c>
      <c r="AB170" s="4" t="s">
        <v>201</v>
      </c>
      <c r="AC170" s="4"/>
      <c r="AD170" s="4"/>
      <c r="AE170" s="4">
        <v>2342</v>
      </c>
      <c r="AF170" s="4">
        <v>164</v>
      </c>
      <c r="AG170" s="4">
        <v>44</v>
      </c>
    </row>
    <row r="171" spans="1:34" ht="13" x14ac:dyDescent="0.3">
      <c r="A171" s="4" t="s">
        <v>33</v>
      </c>
      <c r="B171" s="4">
        <v>885</v>
      </c>
      <c r="C171" s="4" t="s">
        <v>303</v>
      </c>
      <c r="D171" s="5">
        <v>44256</v>
      </c>
      <c r="E171" s="6">
        <v>40</v>
      </c>
      <c r="F171" s="6" t="s">
        <v>35</v>
      </c>
      <c r="G171" s="6" t="s">
        <v>39</v>
      </c>
      <c r="H171" s="6">
        <v>93.7</v>
      </c>
      <c r="I171" s="6">
        <v>64.3</v>
      </c>
      <c r="J171" s="4" t="s">
        <v>201</v>
      </c>
      <c r="K171" s="4" t="s">
        <v>201</v>
      </c>
      <c r="L171" s="4" t="s">
        <v>201</v>
      </c>
      <c r="M171" s="4" t="s">
        <v>201</v>
      </c>
      <c r="N171" s="4" t="s">
        <v>201</v>
      </c>
      <c r="O171" s="4" t="s">
        <v>201</v>
      </c>
      <c r="P171" s="4" t="s">
        <v>201</v>
      </c>
      <c r="Q171" s="4" t="s">
        <v>201</v>
      </c>
      <c r="R171" s="4" t="s">
        <v>201</v>
      </c>
      <c r="S171" s="4">
        <v>11.72</v>
      </c>
      <c r="T171" s="4">
        <v>10.33</v>
      </c>
      <c r="U171" s="4">
        <v>8.81</v>
      </c>
      <c r="V171" s="4">
        <v>7.22</v>
      </c>
      <c r="W171" s="4">
        <v>51</v>
      </c>
      <c r="X171" s="4">
        <v>37</v>
      </c>
      <c r="Y171" s="4">
        <v>9</v>
      </c>
      <c r="Z171" s="4">
        <v>4</v>
      </c>
      <c r="AA171" s="4" t="s">
        <v>321</v>
      </c>
      <c r="AB171" s="4" t="s">
        <v>201</v>
      </c>
      <c r="AC171" s="4"/>
      <c r="AD171" s="4"/>
      <c r="AE171" s="4">
        <v>3774</v>
      </c>
      <c r="AF171" s="4">
        <v>122</v>
      </c>
      <c r="AG171" s="4">
        <v>282</v>
      </c>
    </row>
    <row r="172" spans="1:34" ht="13" x14ac:dyDescent="0.3">
      <c r="A172" s="4" t="s">
        <v>33</v>
      </c>
      <c r="B172" s="4">
        <v>965</v>
      </c>
      <c r="C172" s="4" t="s">
        <v>302</v>
      </c>
      <c r="D172" s="4" t="s">
        <v>325</v>
      </c>
      <c r="E172" s="6">
        <v>40</v>
      </c>
      <c r="F172" s="6" t="s">
        <v>35</v>
      </c>
      <c r="G172" s="6" t="s">
        <v>39</v>
      </c>
      <c r="H172" s="6">
        <v>87.2</v>
      </c>
      <c r="I172" s="6">
        <v>60.8</v>
      </c>
      <c r="J172" s="4" t="s">
        <v>201</v>
      </c>
      <c r="K172" s="4" t="s">
        <v>201</v>
      </c>
      <c r="L172" s="4" t="s">
        <v>201</v>
      </c>
      <c r="M172" s="4" t="s">
        <v>201</v>
      </c>
      <c r="N172" s="4" t="s">
        <v>201</v>
      </c>
      <c r="O172" s="4" t="s">
        <v>201</v>
      </c>
      <c r="P172" s="4" t="s">
        <v>201</v>
      </c>
      <c r="Q172" s="4" t="s">
        <v>201</v>
      </c>
      <c r="R172" s="4" t="s">
        <v>201</v>
      </c>
      <c r="S172" s="4">
        <v>19.899999999999999</v>
      </c>
      <c r="T172" s="4">
        <v>21.4</v>
      </c>
      <c r="U172" s="4">
        <v>7.2</v>
      </c>
      <c r="V172" s="4">
        <v>6.9</v>
      </c>
      <c r="W172" s="4">
        <v>36</v>
      </c>
      <c r="X172" s="4">
        <v>46</v>
      </c>
      <c r="Y172" s="4" t="s">
        <v>201</v>
      </c>
      <c r="Z172" s="4" t="s">
        <v>201</v>
      </c>
      <c r="AA172" s="4" t="s">
        <v>201</v>
      </c>
      <c r="AB172" s="4" t="s">
        <v>201</v>
      </c>
      <c r="AC172" s="4" t="s">
        <v>326</v>
      </c>
      <c r="AD172" s="4" t="s">
        <v>327</v>
      </c>
      <c r="AE172" s="4">
        <v>3574</v>
      </c>
      <c r="AF172" s="4">
        <v>210</v>
      </c>
      <c r="AG172" s="4">
        <v>376</v>
      </c>
    </row>
    <row r="173" spans="1:34" ht="13" x14ac:dyDescent="0.3">
      <c r="A173" s="4" t="s">
        <v>33</v>
      </c>
      <c r="B173" s="4">
        <v>966</v>
      </c>
      <c r="C173" s="4" t="s">
        <v>302</v>
      </c>
      <c r="D173" s="4" t="s">
        <v>325</v>
      </c>
      <c r="E173" s="6">
        <v>40</v>
      </c>
      <c r="F173" s="6" t="s">
        <v>35</v>
      </c>
      <c r="G173" s="6" t="s">
        <v>39</v>
      </c>
      <c r="H173" s="6">
        <v>88.4</v>
      </c>
      <c r="I173" s="6">
        <v>59.7</v>
      </c>
      <c r="J173" s="4" t="s">
        <v>201</v>
      </c>
      <c r="K173" s="4" t="s">
        <v>201</v>
      </c>
      <c r="L173" s="4" t="s">
        <v>201</v>
      </c>
      <c r="M173" s="4" t="s">
        <v>201</v>
      </c>
      <c r="N173" s="4" t="s">
        <v>201</v>
      </c>
      <c r="O173" s="4" t="s">
        <v>201</v>
      </c>
      <c r="P173" s="4" t="s">
        <v>201</v>
      </c>
      <c r="Q173" s="4" t="s">
        <v>201</v>
      </c>
      <c r="R173" s="4" t="s">
        <v>201</v>
      </c>
      <c r="S173" s="4">
        <v>11.9</v>
      </c>
      <c r="T173" s="4">
        <v>12.3</v>
      </c>
      <c r="U173" s="4">
        <v>6.4</v>
      </c>
      <c r="V173" s="4">
        <v>6.7</v>
      </c>
      <c r="W173" s="4">
        <v>23</v>
      </c>
      <c r="X173" s="4">
        <v>45</v>
      </c>
      <c r="Y173" s="4">
        <v>8</v>
      </c>
      <c r="Z173" s="4">
        <v>10</v>
      </c>
      <c r="AA173" s="4" t="s">
        <v>328</v>
      </c>
      <c r="AB173" s="4" t="s">
        <v>201</v>
      </c>
      <c r="AC173" s="4" t="s">
        <v>201</v>
      </c>
      <c r="AD173" s="4" t="s">
        <v>201</v>
      </c>
      <c r="AE173" s="4">
        <v>3492</v>
      </c>
      <c r="AF173" s="4">
        <v>166</v>
      </c>
      <c r="AG173" s="4" t="s">
        <v>81</v>
      </c>
    </row>
    <row r="174" spans="1:34" ht="13" x14ac:dyDescent="0.3">
      <c r="A174" s="4" t="s">
        <v>33</v>
      </c>
      <c r="B174" s="4">
        <v>1007</v>
      </c>
      <c r="C174" s="4" t="s">
        <v>302</v>
      </c>
      <c r="D174" s="4" t="s">
        <v>325</v>
      </c>
      <c r="E174" s="6">
        <v>40</v>
      </c>
      <c r="F174" s="6" t="s">
        <v>35</v>
      </c>
      <c r="G174" s="6" t="s">
        <v>40</v>
      </c>
      <c r="H174" s="6">
        <v>42.3</v>
      </c>
      <c r="I174" s="6">
        <v>28.1</v>
      </c>
      <c r="J174" s="4" t="s">
        <v>201</v>
      </c>
      <c r="K174" s="4"/>
      <c r="L174" s="4"/>
      <c r="M174" s="4"/>
      <c r="N174" s="4"/>
      <c r="O174" s="4"/>
      <c r="P174" s="4"/>
      <c r="Q174" s="4"/>
      <c r="R174" s="4"/>
      <c r="S174" s="4" t="s">
        <v>373</v>
      </c>
      <c r="T174" s="4" t="s">
        <v>201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>
        <v>264</v>
      </c>
      <c r="AF174" s="4">
        <v>16</v>
      </c>
      <c r="AG174" s="4">
        <v>2</v>
      </c>
    </row>
    <row r="175" spans="1:34" ht="13" x14ac:dyDescent="0.3">
      <c r="A175" s="4" t="s">
        <v>33</v>
      </c>
      <c r="B175" s="4">
        <v>1042</v>
      </c>
      <c r="C175" s="4" t="s">
        <v>302</v>
      </c>
      <c r="D175" s="4" t="s">
        <v>325</v>
      </c>
      <c r="E175" s="6">
        <v>40</v>
      </c>
      <c r="F175" s="6" t="s">
        <v>35</v>
      </c>
      <c r="G175" s="6" t="s">
        <v>40</v>
      </c>
      <c r="H175" s="6">
        <v>61.8</v>
      </c>
      <c r="I175" s="6">
        <v>41</v>
      </c>
      <c r="J175" s="4"/>
      <c r="K175" s="4"/>
      <c r="L175" s="4"/>
      <c r="M175" s="4"/>
      <c r="N175" s="4"/>
      <c r="O175" s="4"/>
      <c r="P175" s="4"/>
      <c r="Q175" s="4"/>
      <c r="R175" s="4"/>
      <c r="S175" s="4">
        <v>7</v>
      </c>
      <c r="T175" s="4">
        <v>7.6</v>
      </c>
      <c r="U175" s="4">
        <v>4.3</v>
      </c>
      <c r="V175" s="4">
        <v>3.25</v>
      </c>
      <c r="W175" s="4"/>
      <c r="X175" s="4"/>
      <c r="Y175" s="4" t="s">
        <v>201</v>
      </c>
      <c r="Z175" s="4" t="s">
        <v>201</v>
      </c>
      <c r="AA175" s="4" t="s">
        <v>201</v>
      </c>
      <c r="AB175" s="4" t="s">
        <v>201</v>
      </c>
      <c r="AC175" s="4" t="s">
        <v>201</v>
      </c>
      <c r="AD175" s="4" t="s">
        <v>201</v>
      </c>
      <c r="AE175" s="4">
        <v>1074</v>
      </c>
      <c r="AF175" s="4">
        <v>46</v>
      </c>
      <c r="AG175" s="4">
        <v>14</v>
      </c>
    </row>
    <row r="176" spans="1:34" ht="13" x14ac:dyDescent="0.3">
      <c r="A176" s="4" t="s">
        <v>33</v>
      </c>
      <c r="B176" s="4">
        <v>1043</v>
      </c>
      <c r="C176" s="4" t="s">
        <v>302</v>
      </c>
      <c r="D176" s="4" t="s">
        <v>325</v>
      </c>
      <c r="E176" s="6">
        <v>40</v>
      </c>
      <c r="F176" s="6" t="s">
        <v>35</v>
      </c>
      <c r="G176" s="6" t="s">
        <v>39</v>
      </c>
      <c r="H176" s="6">
        <v>71.5</v>
      </c>
      <c r="I176" s="6">
        <v>52.7</v>
      </c>
      <c r="J176" s="4"/>
      <c r="K176" s="4"/>
      <c r="L176" s="4"/>
      <c r="M176" s="4"/>
      <c r="N176" s="4"/>
      <c r="O176" s="4"/>
      <c r="P176" s="4"/>
      <c r="Q176" s="4"/>
      <c r="R176" s="4"/>
      <c r="S176" s="4">
        <v>9.6</v>
      </c>
      <c r="T176" s="4">
        <v>9.4</v>
      </c>
      <c r="U176" s="4">
        <v>5.55</v>
      </c>
      <c r="V176" s="4">
        <v>5.4</v>
      </c>
      <c r="W176" s="4"/>
      <c r="X176" s="4"/>
      <c r="Y176" s="4">
        <v>4</v>
      </c>
      <c r="Z176" s="4">
        <v>4</v>
      </c>
      <c r="AA176" s="4">
        <v>1.55</v>
      </c>
      <c r="AB176" s="4">
        <v>1.7</v>
      </c>
      <c r="AC176" s="4"/>
      <c r="AD176" s="4"/>
      <c r="AE176" s="4">
        <v>2026</v>
      </c>
      <c r="AF176" s="4">
        <v>114</v>
      </c>
      <c r="AG176" s="4">
        <v>60</v>
      </c>
    </row>
    <row r="177" spans="1:33" ht="13" x14ac:dyDescent="0.3">
      <c r="A177" s="4" t="s">
        <v>33</v>
      </c>
      <c r="B177" s="4">
        <v>1044</v>
      </c>
      <c r="C177" s="4" t="s">
        <v>302</v>
      </c>
      <c r="D177" s="4" t="s">
        <v>325</v>
      </c>
      <c r="E177" s="6">
        <v>40</v>
      </c>
      <c r="F177" s="6" t="s">
        <v>35</v>
      </c>
      <c r="G177" s="6" t="s">
        <v>39</v>
      </c>
      <c r="H177" s="6">
        <v>82.9</v>
      </c>
      <c r="I177" s="6">
        <v>58.7</v>
      </c>
      <c r="J177" s="4"/>
      <c r="K177" s="4"/>
      <c r="L177" s="4"/>
      <c r="M177" s="4"/>
      <c r="N177" s="4"/>
      <c r="O177" s="4"/>
      <c r="P177" s="4"/>
      <c r="Q177" s="4"/>
      <c r="R177" s="4"/>
      <c r="S177" s="4" t="s">
        <v>201</v>
      </c>
      <c r="T177" s="4" t="s">
        <v>201</v>
      </c>
      <c r="U177" s="4" t="s">
        <v>201</v>
      </c>
      <c r="V177" s="4" t="s">
        <v>201</v>
      </c>
      <c r="W177" s="4"/>
      <c r="X177" s="4"/>
      <c r="Y177" s="4"/>
      <c r="Z177" s="4"/>
      <c r="AA177" s="4"/>
      <c r="AB177" s="4"/>
      <c r="AC177" s="4"/>
      <c r="AD177" s="4"/>
      <c r="AE177" s="4">
        <v>2870</v>
      </c>
      <c r="AF177" s="4">
        <v>36</v>
      </c>
      <c r="AG177" s="4">
        <v>8</v>
      </c>
    </row>
    <row r="178" spans="1:33" ht="13" x14ac:dyDescent="0.3">
      <c r="A178" s="4" t="s">
        <v>33</v>
      </c>
      <c r="B178" s="4">
        <v>1045</v>
      </c>
      <c r="C178" s="4" t="s">
        <v>302</v>
      </c>
      <c r="D178" s="4" t="s">
        <v>325</v>
      </c>
      <c r="E178" s="6">
        <v>40</v>
      </c>
      <c r="F178" s="6" t="s">
        <v>35</v>
      </c>
      <c r="G178" s="6" t="s">
        <v>39</v>
      </c>
      <c r="H178" s="6">
        <v>87.4</v>
      </c>
      <c r="I178" s="6">
        <v>60.7</v>
      </c>
      <c r="J178" s="4"/>
      <c r="K178" s="4"/>
      <c r="L178" s="4"/>
      <c r="M178" s="4"/>
      <c r="N178" s="4"/>
      <c r="O178" s="4"/>
      <c r="P178" s="4"/>
      <c r="Q178" s="4"/>
      <c r="R178" s="4"/>
      <c r="S178" s="4">
        <v>10.5</v>
      </c>
      <c r="T178" s="4">
        <v>10.55</v>
      </c>
      <c r="U178" s="4">
        <v>7.4</v>
      </c>
      <c r="V178" s="4">
        <v>6.8</v>
      </c>
      <c r="W178" s="4"/>
      <c r="X178" s="4"/>
      <c r="Y178" s="4">
        <v>10</v>
      </c>
      <c r="Z178" s="4">
        <v>7</v>
      </c>
      <c r="AA178" s="4">
        <v>3.2</v>
      </c>
      <c r="AB178" s="4">
        <v>3.05</v>
      </c>
      <c r="AC178" s="4"/>
      <c r="AD178" s="4"/>
      <c r="AE178" s="4">
        <v>3230</v>
      </c>
      <c r="AF178" s="4">
        <v>208</v>
      </c>
      <c r="AG178" s="4">
        <v>230</v>
      </c>
    </row>
    <row r="179" spans="1:33" ht="13" x14ac:dyDescent="0.3">
      <c r="A179" s="4" t="s">
        <v>33</v>
      </c>
      <c r="B179" s="4">
        <v>1046</v>
      </c>
      <c r="C179" s="4" t="s">
        <v>302</v>
      </c>
      <c r="D179" s="4" t="s">
        <v>325</v>
      </c>
      <c r="E179" s="6">
        <v>40</v>
      </c>
      <c r="F179" s="6" t="s">
        <v>35</v>
      </c>
      <c r="G179" s="6" t="s">
        <v>39</v>
      </c>
      <c r="H179" s="6">
        <v>75.900000000000006</v>
      </c>
      <c r="I179" s="6">
        <v>50.7</v>
      </c>
      <c r="J179" s="4"/>
      <c r="K179" s="4"/>
      <c r="L179" s="4"/>
      <c r="M179" s="4"/>
      <c r="N179" s="4"/>
      <c r="O179" s="4"/>
      <c r="P179" s="4"/>
      <c r="Q179" s="4"/>
      <c r="R179" s="4"/>
      <c r="S179" s="4">
        <v>10.94</v>
      </c>
      <c r="T179" s="4">
        <v>10.15</v>
      </c>
      <c r="U179" s="4">
        <v>6.93</v>
      </c>
      <c r="V179" s="4">
        <v>6.82</v>
      </c>
      <c r="W179" s="4">
        <v>52</v>
      </c>
      <c r="X179" s="4">
        <v>46</v>
      </c>
      <c r="Y179" s="4">
        <v>12</v>
      </c>
      <c r="Z179" s="4">
        <v>6</v>
      </c>
      <c r="AA179" s="4"/>
      <c r="AB179" s="4">
        <v>2.9</v>
      </c>
      <c r="AC179" s="4"/>
      <c r="AD179" s="4"/>
      <c r="AE179" s="4">
        <v>2722</v>
      </c>
      <c r="AF179" s="4">
        <v>132</v>
      </c>
      <c r="AG179" s="4">
        <v>186</v>
      </c>
    </row>
    <row r="180" spans="1:33" ht="13" x14ac:dyDescent="0.3">
      <c r="A180" s="4" t="s">
        <v>33</v>
      </c>
      <c r="B180" s="4">
        <v>1048</v>
      </c>
      <c r="C180" s="4" t="s">
        <v>302</v>
      </c>
      <c r="D180" s="4" t="s">
        <v>204</v>
      </c>
      <c r="E180" s="6">
        <v>40</v>
      </c>
      <c r="F180" s="6" t="s">
        <v>35</v>
      </c>
      <c r="G180" s="6" t="s">
        <v>39</v>
      </c>
      <c r="H180" s="6">
        <v>82.6</v>
      </c>
      <c r="I180" s="6">
        <v>60.1</v>
      </c>
      <c r="J180" s="4"/>
      <c r="K180" s="4"/>
      <c r="L180" s="4"/>
      <c r="M180" s="4"/>
      <c r="N180" s="4"/>
      <c r="O180" s="4"/>
      <c r="P180" s="4"/>
      <c r="Q180" s="4"/>
      <c r="R180" s="4"/>
      <c r="S180" s="4" t="s">
        <v>201</v>
      </c>
      <c r="T180" s="4" t="s">
        <v>201</v>
      </c>
      <c r="U180" s="4" t="s">
        <v>201</v>
      </c>
      <c r="V180" s="4" t="s">
        <v>201</v>
      </c>
      <c r="W180" s="4" t="s">
        <v>201</v>
      </c>
      <c r="X180" s="4" t="s">
        <v>201</v>
      </c>
      <c r="Y180" s="4" t="s">
        <v>201</v>
      </c>
      <c r="Z180" s="4" t="s">
        <v>201</v>
      </c>
      <c r="AA180" s="4" t="s">
        <v>201</v>
      </c>
      <c r="AB180" s="4" t="s">
        <v>201</v>
      </c>
      <c r="AC180" s="4" t="s">
        <v>201</v>
      </c>
      <c r="AD180" s="4" t="s">
        <v>201</v>
      </c>
      <c r="AE180" s="4">
        <v>3526</v>
      </c>
      <c r="AF180" s="4">
        <v>158</v>
      </c>
      <c r="AG180" s="4"/>
    </row>
    <row r="181" spans="1:33" ht="13" x14ac:dyDescent="0.3">
      <c r="A181" s="4" t="s">
        <v>33</v>
      </c>
      <c r="B181" s="4">
        <v>1050</v>
      </c>
      <c r="C181" s="4" t="s">
        <v>302</v>
      </c>
      <c r="D181" s="5">
        <v>44571</v>
      </c>
      <c r="E181" s="6">
        <v>40</v>
      </c>
      <c r="F181" s="6" t="s">
        <v>35</v>
      </c>
      <c r="G181" s="6" t="s">
        <v>39</v>
      </c>
      <c r="H181" s="6">
        <v>86.2</v>
      </c>
      <c r="I181" s="6">
        <v>57.1</v>
      </c>
      <c r="J181" s="4"/>
      <c r="K181" s="4"/>
      <c r="L181" s="4"/>
      <c r="M181" s="4"/>
      <c r="N181" s="4"/>
      <c r="O181" s="4"/>
      <c r="P181" s="4"/>
      <c r="Q181" s="4"/>
      <c r="R181" s="4"/>
      <c r="S181" s="4">
        <v>13</v>
      </c>
      <c r="T181" s="4">
        <v>13</v>
      </c>
      <c r="U181" s="4">
        <v>5.6</v>
      </c>
      <c r="V181" s="4">
        <v>6.1</v>
      </c>
      <c r="W181" s="4">
        <v>13</v>
      </c>
      <c r="X181" s="4">
        <v>30</v>
      </c>
      <c r="Y181" s="4">
        <v>9</v>
      </c>
      <c r="Z181" s="4">
        <v>8</v>
      </c>
      <c r="AA181" s="4">
        <v>3.3</v>
      </c>
      <c r="AB181" s="4">
        <v>3.2</v>
      </c>
      <c r="AC181" s="4"/>
      <c r="AD181" s="4"/>
      <c r="AE181" s="4">
        <v>3418</v>
      </c>
      <c r="AF181" s="4">
        <v>210</v>
      </c>
      <c r="AG181" s="4">
        <v>232</v>
      </c>
    </row>
    <row r="182" spans="1:33" ht="13" x14ac:dyDescent="0.3">
      <c r="A182" s="4" t="s">
        <v>33</v>
      </c>
      <c r="B182" s="4">
        <v>1055</v>
      </c>
      <c r="C182" s="4" t="s">
        <v>302</v>
      </c>
      <c r="D182" s="8">
        <v>44835</v>
      </c>
      <c r="E182" s="6">
        <v>40</v>
      </c>
      <c r="F182" s="6" t="s">
        <v>35</v>
      </c>
      <c r="G182" s="6" t="s">
        <v>40</v>
      </c>
      <c r="H182" s="6">
        <v>73.400000000000006</v>
      </c>
      <c r="I182" s="6">
        <v>48.8</v>
      </c>
      <c r="J182" s="4"/>
      <c r="K182" s="4"/>
      <c r="L182" s="4"/>
      <c r="M182" s="4"/>
      <c r="N182" s="4"/>
      <c r="O182" s="4"/>
      <c r="P182" s="4"/>
      <c r="Q182" s="4"/>
      <c r="R182" s="4"/>
      <c r="S182" s="4" t="s">
        <v>201</v>
      </c>
      <c r="T182" s="4" t="s">
        <v>201</v>
      </c>
      <c r="U182" s="4" t="s">
        <v>201</v>
      </c>
      <c r="V182" s="4" t="s">
        <v>201</v>
      </c>
      <c r="W182" s="4" t="s">
        <v>201</v>
      </c>
      <c r="X182" s="4" t="s">
        <v>201</v>
      </c>
      <c r="Y182" s="4" t="s">
        <v>201</v>
      </c>
      <c r="Z182" s="4" t="s">
        <v>201</v>
      </c>
      <c r="AA182" s="4" t="s">
        <v>201</v>
      </c>
      <c r="AB182" s="4" t="s">
        <v>201</v>
      </c>
      <c r="AC182" s="4" t="s">
        <v>201</v>
      </c>
      <c r="AD182" s="4" t="s">
        <v>201</v>
      </c>
      <c r="AE182" s="4">
        <v>1746</v>
      </c>
      <c r="AF182" s="4">
        <v>84</v>
      </c>
      <c r="AG182" s="4">
        <v>30</v>
      </c>
    </row>
    <row r="183" spans="1:33" ht="13" x14ac:dyDescent="0.3">
      <c r="A183" s="4" t="s">
        <v>33</v>
      </c>
      <c r="B183" s="4">
        <v>1056</v>
      </c>
      <c r="C183" s="4" t="s">
        <v>302</v>
      </c>
      <c r="D183" s="8">
        <v>44835</v>
      </c>
      <c r="E183" s="6">
        <v>20</v>
      </c>
      <c r="F183" s="6" t="s">
        <v>35</v>
      </c>
      <c r="G183" s="6" t="s">
        <v>39</v>
      </c>
      <c r="H183" s="6">
        <v>74.5</v>
      </c>
      <c r="I183" s="6">
        <v>57.2</v>
      </c>
      <c r="J183" s="4"/>
      <c r="K183" s="4"/>
      <c r="L183" s="4"/>
      <c r="M183" s="4"/>
      <c r="N183" s="4"/>
      <c r="O183" s="4"/>
      <c r="P183" s="4"/>
      <c r="Q183" s="4"/>
      <c r="R183" s="4"/>
      <c r="S183" s="4" t="s">
        <v>201</v>
      </c>
      <c r="T183" s="4" t="s">
        <v>201</v>
      </c>
      <c r="U183" s="4" t="s">
        <v>201</v>
      </c>
      <c r="V183" s="4" t="s">
        <v>201</v>
      </c>
      <c r="W183" s="4" t="s">
        <v>201</v>
      </c>
      <c r="X183" s="4" t="s">
        <v>201</v>
      </c>
      <c r="Y183" s="4" t="s">
        <v>201</v>
      </c>
      <c r="Z183" s="4" t="s">
        <v>201</v>
      </c>
      <c r="AA183" s="4" t="s">
        <v>201</v>
      </c>
      <c r="AB183" s="4" t="s">
        <v>201</v>
      </c>
      <c r="AC183" s="4" t="s">
        <v>201</v>
      </c>
      <c r="AD183" s="4" t="s">
        <v>201</v>
      </c>
      <c r="AE183" s="4">
        <v>2674</v>
      </c>
      <c r="AF183" s="4">
        <v>158</v>
      </c>
      <c r="AG183" s="4">
        <v>270</v>
      </c>
    </row>
    <row r="184" spans="1:33" ht="13" x14ac:dyDescent="0.3">
      <c r="A184" s="4" t="s">
        <v>33</v>
      </c>
      <c r="B184" s="4">
        <v>1057</v>
      </c>
      <c r="C184" s="4" t="s">
        <v>302</v>
      </c>
      <c r="D184" s="8">
        <v>44835</v>
      </c>
      <c r="E184" s="6">
        <v>40</v>
      </c>
      <c r="F184" s="6" t="s">
        <v>35</v>
      </c>
      <c r="G184" s="6" t="s">
        <v>40</v>
      </c>
      <c r="H184" s="6">
        <v>59</v>
      </c>
      <c r="I184" s="6">
        <v>37.9</v>
      </c>
      <c r="J184" s="4"/>
      <c r="K184" s="4"/>
      <c r="L184" s="4"/>
      <c r="M184" s="4"/>
      <c r="N184" s="4"/>
      <c r="O184" s="4"/>
      <c r="P184" s="4"/>
      <c r="Q184" s="4"/>
      <c r="R184" s="4"/>
      <c r="S184" s="4" t="s">
        <v>201</v>
      </c>
      <c r="T184" s="4" t="s">
        <v>201</v>
      </c>
      <c r="U184" s="4" t="s">
        <v>201</v>
      </c>
      <c r="V184" s="4" t="s">
        <v>201</v>
      </c>
      <c r="W184" s="4" t="s">
        <v>201</v>
      </c>
      <c r="X184" s="4" t="s">
        <v>201</v>
      </c>
      <c r="Y184" s="4" t="s">
        <v>201</v>
      </c>
      <c r="Z184" s="4" t="s">
        <v>201</v>
      </c>
      <c r="AA184" s="4" t="s">
        <v>201</v>
      </c>
      <c r="AB184" s="4" t="s">
        <v>201</v>
      </c>
      <c r="AC184" s="4" t="s">
        <v>201</v>
      </c>
      <c r="AD184" s="4" t="s">
        <v>201</v>
      </c>
      <c r="AE184" s="4">
        <v>763</v>
      </c>
      <c r="AF184" s="4">
        <v>40</v>
      </c>
      <c r="AG184" s="4">
        <v>0</v>
      </c>
    </row>
    <row r="185" spans="1:33" ht="13" x14ac:dyDescent="0.3">
      <c r="A185" s="4" t="s">
        <v>33</v>
      </c>
      <c r="B185" s="4">
        <v>1083</v>
      </c>
      <c r="C185" s="4" t="s">
        <v>302</v>
      </c>
      <c r="D185" s="11" t="s">
        <v>437</v>
      </c>
      <c r="E185" s="6">
        <v>36</v>
      </c>
      <c r="F185" s="6" t="s">
        <v>35</v>
      </c>
      <c r="G185" s="6" t="s">
        <v>39</v>
      </c>
      <c r="H185" s="6">
        <v>108.3</v>
      </c>
      <c r="I185" s="6">
        <v>77.8</v>
      </c>
      <c r="J185" s="4"/>
      <c r="K185" s="4"/>
      <c r="L185" s="4"/>
      <c r="M185" s="4"/>
      <c r="N185" s="4"/>
      <c r="O185" s="4"/>
      <c r="P185" s="4"/>
      <c r="Q185" s="4"/>
      <c r="R185" s="4"/>
      <c r="S185" s="4" t="s">
        <v>438</v>
      </c>
      <c r="T185" s="4" t="s">
        <v>439</v>
      </c>
      <c r="U185" s="4">
        <v>7.63</v>
      </c>
      <c r="V185" s="4">
        <v>7.53</v>
      </c>
      <c r="W185" s="4"/>
      <c r="X185" s="4"/>
      <c r="Y185" s="4"/>
      <c r="Z185" s="4"/>
      <c r="AA185" s="4">
        <v>2.84</v>
      </c>
      <c r="AB185" s="4">
        <v>3.05</v>
      </c>
      <c r="AC185" s="4" t="s">
        <v>201</v>
      </c>
      <c r="AD185" s="4" t="s">
        <v>201</v>
      </c>
      <c r="AE185" s="4">
        <v>5578</v>
      </c>
      <c r="AF185" s="4">
        <v>236</v>
      </c>
      <c r="AG185" s="4">
        <v>366</v>
      </c>
    </row>
    <row r="186" spans="1:33" ht="13" x14ac:dyDescent="0.3">
      <c r="A186" s="4" t="s">
        <v>33</v>
      </c>
      <c r="B186" s="4">
        <v>1085</v>
      </c>
      <c r="C186" s="4" t="s">
        <v>302</v>
      </c>
      <c r="D186" s="11" t="s">
        <v>437</v>
      </c>
      <c r="E186" s="6">
        <v>36</v>
      </c>
      <c r="F186" s="6" t="s">
        <v>35</v>
      </c>
      <c r="G186" s="6" t="s">
        <v>40</v>
      </c>
      <c r="H186" s="6">
        <v>59.5</v>
      </c>
      <c r="I186" s="6">
        <v>40.299999999999997</v>
      </c>
      <c r="J186" s="4"/>
      <c r="K186" s="4"/>
      <c r="L186" s="4"/>
      <c r="M186" s="4"/>
      <c r="N186" s="4"/>
      <c r="O186" s="4"/>
      <c r="P186" s="4"/>
      <c r="Q186" s="4"/>
      <c r="R186" s="4"/>
      <c r="S186" s="4" t="s">
        <v>442</v>
      </c>
      <c r="T186" s="4" t="s">
        <v>443</v>
      </c>
      <c r="U186" s="4" t="s">
        <v>201</v>
      </c>
      <c r="V186" s="4" t="s">
        <v>201</v>
      </c>
      <c r="W186" s="4" t="s">
        <v>201</v>
      </c>
      <c r="X186" s="4" t="s">
        <v>201</v>
      </c>
      <c r="Y186" s="4" t="s">
        <v>201</v>
      </c>
      <c r="Z186" s="4" t="s">
        <v>201</v>
      </c>
      <c r="AA186" s="4" t="s">
        <v>201</v>
      </c>
      <c r="AB186" s="4" t="s">
        <v>201</v>
      </c>
      <c r="AC186" s="4" t="s">
        <v>201</v>
      </c>
      <c r="AD186" s="4" t="s">
        <v>201</v>
      </c>
      <c r="AE186" s="4">
        <v>710</v>
      </c>
      <c r="AF186" s="4">
        <v>48</v>
      </c>
      <c r="AG186" s="4">
        <v>2</v>
      </c>
    </row>
    <row r="187" spans="1:33" ht="13" x14ac:dyDescent="0.3">
      <c r="A187" s="4" t="s">
        <v>33</v>
      </c>
      <c r="B187" s="4">
        <v>1088</v>
      </c>
      <c r="C187" s="4" t="s">
        <v>302</v>
      </c>
      <c r="D187" s="11" t="s">
        <v>437</v>
      </c>
      <c r="E187" s="6" t="s">
        <v>446</v>
      </c>
      <c r="F187" s="6" t="s">
        <v>35</v>
      </c>
      <c r="G187" s="6" t="s">
        <v>40</v>
      </c>
      <c r="H187" s="6">
        <v>45</v>
      </c>
      <c r="I187" s="6">
        <v>32</v>
      </c>
      <c r="J187" s="4" t="s">
        <v>201</v>
      </c>
      <c r="K187" s="4" t="s">
        <v>201</v>
      </c>
      <c r="L187" s="4" t="s">
        <v>201</v>
      </c>
      <c r="M187" s="4" t="s">
        <v>201</v>
      </c>
      <c r="N187" s="4" t="s">
        <v>201</v>
      </c>
      <c r="O187" s="4" t="s">
        <v>201</v>
      </c>
      <c r="P187" s="4" t="s">
        <v>201</v>
      </c>
      <c r="Q187" s="4" t="s">
        <v>201</v>
      </c>
      <c r="R187" s="4" t="s">
        <v>201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>
        <v>420</v>
      </c>
      <c r="AF187" s="4"/>
      <c r="AG187" s="4"/>
    </row>
    <row r="188" spans="1:33" ht="13" x14ac:dyDescent="0.3">
      <c r="A188" s="4" t="s">
        <v>33</v>
      </c>
      <c r="B188" s="4">
        <v>1091</v>
      </c>
      <c r="C188" s="4" t="s">
        <v>302</v>
      </c>
      <c r="D188" s="11" t="s">
        <v>447</v>
      </c>
      <c r="E188" s="6" t="s">
        <v>448</v>
      </c>
      <c r="F188" s="6" t="s">
        <v>35</v>
      </c>
      <c r="G188" s="6" t="s">
        <v>40</v>
      </c>
      <c r="H188" s="6">
        <v>75.8</v>
      </c>
      <c r="I188" s="6">
        <v>49.5</v>
      </c>
      <c r="J188" s="4"/>
      <c r="K188" s="4"/>
      <c r="L188" s="4"/>
      <c r="M188" s="4"/>
      <c r="N188" s="4"/>
      <c r="O188" s="4"/>
      <c r="P188" s="4"/>
      <c r="Q188" s="4"/>
      <c r="R188" s="4"/>
      <c r="S188" s="4" t="s">
        <v>201</v>
      </c>
      <c r="T188" s="4" t="s">
        <v>201</v>
      </c>
      <c r="U188" s="4" t="s">
        <v>201</v>
      </c>
      <c r="V188" s="4" t="s">
        <v>201</v>
      </c>
      <c r="W188" s="4" t="s">
        <v>201</v>
      </c>
      <c r="X188" s="4" t="s">
        <v>201</v>
      </c>
      <c r="Y188" s="4"/>
      <c r="Z188" s="4"/>
      <c r="AA188" s="4"/>
      <c r="AB188" s="4"/>
      <c r="AC188" s="4"/>
      <c r="AD188" s="4"/>
      <c r="AE188" s="4">
        <v>1587</v>
      </c>
      <c r="AF188" s="4"/>
      <c r="AG188" s="4"/>
    </row>
    <row r="189" spans="1:33" ht="13" x14ac:dyDescent="0.3">
      <c r="A189" s="4" t="s">
        <v>33</v>
      </c>
      <c r="B189" s="4">
        <v>1092</v>
      </c>
      <c r="C189" s="4" t="s">
        <v>302</v>
      </c>
      <c r="D189" s="11" t="s">
        <v>447</v>
      </c>
      <c r="E189" s="6" t="s">
        <v>318</v>
      </c>
      <c r="F189" s="6" t="s">
        <v>35</v>
      </c>
      <c r="G189" s="6" t="s">
        <v>40</v>
      </c>
      <c r="H189" s="6">
        <v>79.900000000000006</v>
      </c>
      <c r="I189" s="6">
        <v>53.5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>
        <v>1890</v>
      </c>
      <c r="AF189" s="4"/>
      <c r="AG189" s="4"/>
    </row>
    <row r="190" spans="1:33" ht="13" x14ac:dyDescent="0.3">
      <c r="A190" s="4" t="s">
        <v>33</v>
      </c>
      <c r="B190" s="4">
        <v>1093</v>
      </c>
      <c r="C190" s="4" t="s">
        <v>302</v>
      </c>
      <c r="D190" s="11" t="s">
        <v>447</v>
      </c>
      <c r="E190" s="13">
        <v>45207</v>
      </c>
      <c r="F190" s="6" t="s">
        <v>35</v>
      </c>
      <c r="G190" s="6" t="s">
        <v>40</v>
      </c>
      <c r="H190" s="6">
        <v>65.400000000000006</v>
      </c>
      <c r="I190" s="6">
        <v>43.2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>
        <v>1050</v>
      </c>
      <c r="AF190" s="4">
        <v>46</v>
      </c>
      <c r="AG190" s="4">
        <v>2</v>
      </c>
    </row>
    <row r="191" spans="1:33" ht="13" x14ac:dyDescent="0.3">
      <c r="A191" s="4" t="s">
        <v>33</v>
      </c>
      <c r="B191" s="4">
        <v>1094</v>
      </c>
      <c r="C191" s="4" t="s">
        <v>302</v>
      </c>
      <c r="D191" s="11" t="s">
        <v>447</v>
      </c>
      <c r="E191" s="13">
        <v>45207</v>
      </c>
      <c r="F191" s="6" t="s">
        <v>35</v>
      </c>
      <c r="G191" s="6" t="s">
        <v>39</v>
      </c>
      <c r="H191" s="6">
        <v>82.4</v>
      </c>
      <c r="I191" s="6">
        <v>56.5</v>
      </c>
      <c r="J191" s="4"/>
      <c r="K191" s="4"/>
      <c r="L191" s="4"/>
      <c r="M191" s="4"/>
      <c r="N191" s="4"/>
      <c r="O191" s="4"/>
      <c r="P191" s="4"/>
      <c r="Q191" s="4"/>
      <c r="R191" s="4"/>
      <c r="S191" s="4">
        <v>9.6</v>
      </c>
      <c r="T191" s="4">
        <v>8.8000000000000007</v>
      </c>
      <c r="U191" s="4">
        <v>5.51</v>
      </c>
      <c r="V191" s="4">
        <v>6.1</v>
      </c>
      <c r="W191" s="4">
        <v>36</v>
      </c>
      <c r="X191" s="4">
        <v>47</v>
      </c>
      <c r="Y191" s="4"/>
      <c r="Z191" s="4"/>
      <c r="AA191" s="4"/>
      <c r="AB191" s="4"/>
      <c r="AC191" s="4"/>
      <c r="AD191" s="4"/>
      <c r="AE191" s="4">
        <v>2780</v>
      </c>
      <c r="AF191" s="4">
        <v>136</v>
      </c>
      <c r="AG191" s="4">
        <v>210</v>
      </c>
    </row>
    <row r="192" spans="1:33" ht="13" x14ac:dyDescent="0.3">
      <c r="A192" s="4" t="s">
        <v>33</v>
      </c>
      <c r="B192" s="4">
        <v>1095</v>
      </c>
      <c r="C192" s="4" t="s">
        <v>302</v>
      </c>
      <c r="D192" s="11" t="s">
        <v>447</v>
      </c>
      <c r="E192" s="13">
        <v>45207</v>
      </c>
      <c r="F192" s="6" t="s">
        <v>35</v>
      </c>
      <c r="G192" s="6" t="s">
        <v>39</v>
      </c>
      <c r="H192" s="6">
        <v>85.9</v>
      </c>
      <c r="I192" s="6">
        <v>68.099999999999994</v>
      </c>
      <c r="J192" s="4"/>
      <c r="K192" s="4"/>
      <c r="L192" s="4"/>
      <c r="M192" s="4"/>
      <c r="N192" s="4"/>
      <c r="O192" s="4"/>
      <c r="P192" s="4"/>
      <c r="Q192" s="4"/>
      <c r="R192" s="4"/>
      <c r="S192" s="4">
        <v>10.4</v>
      </c>
      <c r="T192" s="4">
        <v>10.3</v>
      </c>
      <c r="U192" s="4">
        <v>5.2</v>
      </c>
      <c r="V192" s="4">
        <v>5.47</v>
      </c>
      <c r="W192" s="4">
        <v>24</v>
      </c>
      <c r="X192" s="4">
        <v>26</v>
      </c>
      <c r="Y192" s="4"/>
      <c r="Z192" s="4"/>
      <c r="AA192" s="4"/>
      <c r="AB192" s="4"/>
      <c r="AC192" s="4"/>
      <c r="AD192" s="4"/>
      <c r="AE192" s="4">
        <v>2334</v>
      </c>
      <c r="AF192" s="4">
        <v>130</v>
      </c>
      <c r="AG192" s="4">
        <v>238</v>
      </c>
    </row>
    <row r="193" spans="1:34" ht="13" x14ac:dyDescent="0.3">
      <c r="A193" s="4" t="s">
        <v>33</v>
      </c>
      <c r="B193" s="4">
        <v>1106</v>
      </c>
      <c r="C193" s="4" t="s">
        <v>302</v>
      </c>
      <c r="D193" s="11" t="s">
        <v>447</v>
      </c>
      <c r="E193" s="13">
        <v>45207</v>
      </c>
      <c r="F193" s="6" t="s">
        <v>35</v>
      </c>
      <c r="G193" s="6" t="s">
        <v>39</v>
      </c>
      <c r="H193" s="6">
        <v>88.3</v>
      </c>
      <c r="I193" s="6">
        <v>65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>
        <v>3068</v>
      </c>
      <c r="AF193" s="4"/>
      <c r="AG193" s="4"/>
    </row>
    <row r="194" spans="1:34" ht="13" x14ac:dyDescent="0.3">
      <c r="A194" s="4" t="s">
        <v>33</v>
      </c>
      <c r="B194" s="4">
        <v>1117</v>
      </c>
      <c r="C194" s="4" t="s">
        <v>302</v>
      </c>
      <c r="D194" s="11" t="s">
        <v>447</v>
      </c>
      <c r="E194" s="6"/>
      <c r="F194" s="6" t="s">
        <v>35</v>
      </c>
      <c r="G194" s="6" t="s">
        <v>39</v>
      </c>
      <c r="H194" s="6">
        <v>90.2</v>
      </c>
      <c r="I194" s="6">
        <v>86.2</v>
      </c>
      <c r="J194" s="4"/>
      <c r="K194" s="4"/>
      <c r="L194" s="4"/>
      <c r="M194" s="4"/>
      <c r="N194" s="4"/>
      <c r="O194" s="4"/>
      <c r="P194" s="4"/>
      <c r="Q194" s="4"/>
      <c r="R194" s="4"/>
      <c r="S194" s="4">
        <v>13.26</v>
      </c>
      <c r="T194" s="4">
        <v>13.16</v>
      </c>
      <c r="U194" s="4" t="s">
        <v>458</v>
      </c>
      <c r="V194" s="4" t="s">
        <v>459</v>
      </c>
      <c r="W194" s="4"/>
      <c r="X194" s="4"/>
      <c r="Y194" s="4">
        <v>7</v>
      </c>
      <c r="Z194" s="4">
        <v>18</v>
      </c>
      <c r="AA194" s="4" t="s">
        <v>460</v>
      </c>
      <c r="AB194" s="4" t="s">
        <v>461</v>
      </c>
      <c r="AC194" s="4"/>
      <c r="AD194" s="4"/>
      <c r="AE194" s="4">
        <v>3522</v>
      </c>
      <c r="AF194" s="4">
        <v>195</v>
      </c>
      <c r="AG194" s="4">
        <v>102</v>
      </c>
    </row>
    <row r="195" spans="1:34" ht="13" x14ac:dyDescent="0.3">
      <c r="A195" s="4" t="s">
        <v>33</v>
      </c>
      <c r="B195" s="4">
        <v>1119</v>
      </c>
      <c r="C195" s="4" t="s">
        <v>302</v>
      </c>
      <c r="D195" s="11" t="s">
        <v>447</v>
      </c>
      <c r="E195" s="13">
        <v>45270</v>
      </c>
      <c r="F195" s="6" t="s">
        <v>35</v>
      </c>
      <c r="G195" s="6" t="s">
        <v>39</v>
      </c>
      <c r="H195" s="6">
        <v>69.599999999999994</v>
      </c>
      <c r="I195" s="6">
        <v>55.4</v>
      </c>
      <c r="J195" s="4"/>
      <c r="K195" s="4"/>
      <c r="L195" s="4"/>
      <c r="M195" s="4"/>
      <c r="N195" s="4"/>
      <c r="O195" s="4"/>
      <c r="P195" s="4"/>
      <c r="Q195" s="4"/>
      <c r="R195" s="4"/>
      <c r="S195" s="4">
        <v>11.77</v>
      </c>
      <c r="T195" s="4">
        <v>12.89</v>
      </c>
      <c r="U195" s="4" t="s">
        <v>462</v>
      </c>
      <c r="V195" s="4" t="s">
        <v>463</v>
      </c>
      <c r="W195" s="4"/>
      <c r="X195" s="4"/>
      <c r="Y195" s="4">
        <v>58</v>
      </c>
      <c r="Z195" s="4">
        <v>46</v>
      </c>
      <c r="AA195" s="4" t="s">
        <v>464</v>
      </c>
      <c r="AB195" s="4" t="s">
        <v>464</v>
      </c>
      <c r="AC195" s="4"/>
      <c r="AD195" s="4"/>
      <c r="AE195" s="4">
        <v>2468</v>
      </c>
      <c r="AF195" s="4">
        <v>88</v>
      </c>
      <c r="AG195" s="4">
        <v>186</v>
      </c>
    </row>
    <row r="196" spans="1:34" ht="13" x14ac:dyDescent="0.3">
      <c r="A196" s="4" t="s">
        <v>33</v>
      </c>
      <c r="B196" s="4">
        <v>1120</v>
      </c>
      <c r="C196" s="4" t="s">
        <v>302</v>
      </c>
      <c r="D196" s="11" t="s">
        <v>447</v>
      </c>
      <c r="E196" s="13">
        <v>45270</v>
      </c>
      <c r="F196" s="6" t="s">
        <v>35</v>
      </c>
      <c r="G196" s="6" t="s">
        <v>39</v>
      </c>
      <c r="H196" s="6">
        <v>78.900000000000006</v>
      </c>
      <c r="I196" s="6">
        <v>54.5</v>
      </c>
      <c r="J196" s="4"/>
      <c r="K196" s="4"/>
      <c r="L196" s="4"/>
      <c r="M196" s="4"/>
      <c r="N196" s="4"/>
      <c r="O196" s="4"/>
      <c r="P196" s="4"/>
      <c r="Q196" s="4"/>
      <c r="R196" s="4"/>
      <c r="S196" s="4">
        <v>12.15</v>
      </c>
      <c r="T196" s="4">
        <v>12.7</v>
      </c>
      <c r="U196" s="4" t="s">
        <v>465</v>
      </c>
      <c r="V196" s="4" t="s">
        <v>466</v>
      </c>
      <c r="W196" s="4"/>
      <c r="X196" s="4"/>
      <c r="Y196" s="4">
        <v>28</v>
      </c>
      <c r="Z196" s="4">
        <v>28</v>
      </c>
      <c r="AA196" s="4" t="s">
        <v>467</v>
      </c>
      <c r="AB196" s="4" t="s">
        <v>468</v>
      </c>
      <c r="AC196" s="4"/>
      <c r="AD196" s="4"/>
      <c r="AE196" s="4">
        <v>2740</v>
      </c>
      <c r="AF196" s="4">
        <v>140</v>
      </c>
      <c r="AG196" s="4">
        <v>221</v>
      </c>
    </row>
    <row r="197" spans="1:34" ht="13" x14ac:dyDescent="0.3">
      <c r="A197" s="4" t="s">
        <v>33</v>
      </c>
      <c r="B197" s="4">
        <v>1121</v>
      </c>
      <c r="C197" s="4" t="s">
        <v>302</v>
      </c>
      <c r="D197" s="11" t="s">
        <v>447</v>
      </c>
      <c r="E197" s="13">
        <v>45270</v>
      </c>
      <c r="F197" s="6" t="s">
        <v>35</v>
      </c>
      <c r="G197" s="6" t="s">
        <v>39</v>
      </c>
      <c r="H197" s="6">
        <v>85.1</v>
      </c>
      <c r="I197" s="6">
        <v>56.2</v>
      </c>
      <c r="J197" s="4"/>
      <c r="K197" s="4"/>
      <c r="L197" s="4"/>
      <c r="M197" s="4"/>
      <c r="N197" s="4"/>
      <c r="O197" s="4"/>
      <c r="P197" s="4"/>
      <c r="Q197" s="4"/>
      <c r="R197" s="4"/>
      <c r="S197" s="4">
        <v>12.1</v>
      </c>
      <c r="T197" s="4">
        <v>13.48</v>
      </c>
      <c r="U197" s="4" t="s">
        <v>469</v>
      </c>
      <c r="V197" s="4" t="s">
        <v>470</v>
      </c>
      <c r="W197" s="4"/>
      <c r="X197" s="4"/>
      <c r="Y197" s="4">
        <v>48</v>
      </c>
      <c r="Z197" s="4">
        <v>28</v>
      </c>
      <c r="AA197" s="4" t="s">
        <v>471</v>
      </c>
      <c r="AB197" s="4"/>
      <c r="AC197" s="4"/>
      <c r="AD197" s="4"/>
      <c r="AE197" s="4">
        <v>2643</v>
      </c>
      <c r="AF197" s="4">
        <v>186</v>
      </c>
      <c r="AG197" s="4">
        <v>62</v>
      </c>
    </row>
    <row r="198" spans="1:34" ht="13" x14ac:dyDescent="0.3">
      <c r="A198" s="4" t="s">
        <v>33</v>
      </c>
      <c r="B198" s="4">
        <v>1122</v>
      </c>
      <c r="C198" s="4" t="s">
        <v>302</v>
      </c>
      <c r="D198" s="11" t="s">
        <v>447</v>
      </c>
      <c r="E198" s="6">
        <v>12</v>
      </c>
      <c r="F198" s="6" t="s">
        <v>35</v>
      </c>
      <c r="G198" s="6" t="s">
        <v>39</v>
      </c>
      <c r="H198" s="6">
        <v>88</v>
      </c>
      <c r="I198" s="6">
        <v>61.5</v>
      </c>
      <c r="J198" s="4"/>
      <c r="K198" s="4"/>
      <c r="L198" s="4"/>
      <c r="M198" s="4"/>
      <c r="N198" s="4"/>
      <c r="O198" s="4"/>
      <c r="P198" s="4"/>
      <c r="Q198" s="4"/>
      <c r="R198" s="4"/>
      <c r="S198" s="4">
        <v>14.5</v>
      </c>
      <c r="T198" s="4">
        <v>14.5</v>
      </c>
      <c r="U198" s="4" t="s">
        <v>472</v>
      </c>
      <c r="V198" s="4" t="s">
        <v>473</v>
      </c>
      <c r="W198" s="4"/>
      <c r="X198" s="4"/>
      <c r="Y198" s="4">
        <v>11</v>
      </c>
      <c r="Z198" s="4">
        <v>9</v>
      </c>
      <c r="AA198" s="4" t="s">
        <v>474</v>
      </c>
      <c r="AB198" s="4" t="s">
        <v>475</v>
      </c>
      <c r="AC198" s="4"/>
      <c r="AD198" s="4"/>
      <c r="AE198" s="4">
        <v>3348</v>
      </c>
      <c r="AF198" s="4">
        <v>135</v>
      </c>
      <c r="AG198" s="4">
        <v>273</v>
      </c>
    </row>
    <row r="199" spans="1:34" ht="13" x14ac:dyDescent="0.3">
      <c r="A199" s="4" t="s">
        <v>33</v>
      </c>
      <c r="B199" s="4">
        <v>1124</v>
      </c>
      <c r="C199" s="4" t="s">
        <v>302</v>
      </c>
      <c r="D199" s="11" t="s">
        <v>447</v>
      </c>
      <c r="E199" s="13">
        <v>45270</v>
      </c>
      <c r="F199" s="6" t="s">
        <v>35</v>
      </c>
      <c r="G199" s="6" t="s">
        <v>39</v>
      </c>
      <c r="H199" s="6">
        <v>84.5</v>
      </c>
      <c r="I199" s="6">
        <v>56.6</v>
      </c>
      <c r="J199" s="4"/>
      <c r="K199" s="4"/>
      <c r="L199" s="4"/>
      <c r="M199" s="4"/>
      <c r="N199" s="4"/>
      <c r="O199" s="4"/>
      <c r="P199" s="4"/>
      <c r="Q199" s="4"/>
      <c r="R199" s="4"/>
      <c r="S199" s="4">
        <v>12.46</v>
      </c>
      <c r="T199" s="4">
        <v>12.39</v>
      </c>
      <c r="U199" s="4" t="s">
        <v>478</v>
      </c>
      <c r="V199" s="4" t="s">
        <v>479</v>
      </c>
      <c r="W199" s="4"/>
      <c r="X199" s="4"/>
      <c r="Y199" s="4">
        <v>32</v>
      </c>
      <c r="Z199" s="4">
        <v>23</v>
      </c>
      <c r="AA199" s="4" t="s">
        <v>480</v>
      </c>
      <c r="AB199" s="4" t="s">
        <v>481</v>
      </c>
      <c r="AC199" s="4"/>
      <c r="AD199" s="4"/>
      <c r="AE199" s="4">
        <v>2824</v>
      </c>
      <c r="AF199" s="4">
        <v>188</v>
      </c>
      <c r="AG199" s="4">
        <v>204</v>
      </c>
    </row>
    <row r="200" spans="1:34" ht="13" x14ac:dyDescent="0.3">
      <c r="A200" s="4" t="s">
        <v>33</v>
      </c>
      <c r="B200" s="4">
        <v>1125</v>
      </c>
      <c r="C200" s="4" t="s">
        <v>302</v>
      </c>
      <c r="D200" s="11" t="s">
        <v>447</v>
      </c>
      <c r="E200" s="6">
        <v>12</v>
      </c>
      <c r="F200" s="6" t="s">
        <v>35</v>
      </c>
      <c r="G200" s="6" t="s">
        <v>39</v>
      </c>
      <c r="H200" s="6">
        <v>69.5</v>
      </c>
      <c r="I200" s="6">
        <v>47.3</v>
      </c>
      <c r="J200" s="4"/>
      <c r="K200" s="4"/>
      <c r="L200" s="4"/>
      <c r="M200" s="4"/>
      <c r="N200" s="4"/>
      <c r="O200" s="4"/>
      <c r="P200" s="4"/>
      <c r="Q200" s="4"/>
      <c r="R200" s="4"/>
      <c r="S200" s="4">
        <v>13.8</v>
      </c>
      <c r="T200" s="4">
        <v>14</v>
      </c>
      <c r="U200" s="4" t="s">
        <v>482</v>
      </c>
      <c r="V200" s="4" t="s">
        <v>473</v>
      </c>
      <c r="W200" s="4"/>
      <c r="X200" s="4"/>
      <c r="Y200" s="4">
        <v>7</v>
      </c>
      <c r="Z200" s="4">
        <v>8</v>
      </c>
      <c r="AA200" s="4" t="s">
        <v>483</v>
      </c>
      <c r="AB200" s="4" t="s">
        <v>484</v>
      </c>
      <c r="AC200" s="4"/>
      <c r="AD200" s="4"/>
      <c r="AE200" s="4">
        <v>2712</v>
      </c>
      <c r="AF200" s="4">
        <v>198</v>
      </c>
      <c r="AG200" s="4">
        <v>191</v>
      </c>
    </row>
    <row r="201" spans="1:34" ht="13" x14ac:dyDescent="0.3">
      <c r="A201" s="4" t="s">
        <v>33</v>
      </c>
      <c r="B201" s="4">
        <v>1242</v>
      </c>
      <c r="C201" s="4" t="s">
        <v>493</v>
      </c>
      <c r="D201" s="5"/>
      <c r="E201" s="6"/>
      <c r="F201" s="6" t="s">
        <v>35</v>
      </c>
      <c r="G201" s="6" t="s">
        <v>40</v>
      </c>
      <c r="H201" s="6">
        <v>64</v>
      </c>
      <c r="I201" s="6">
        <v>42</v>
      </c>
      <c r="J201" s="4"/>
      <c r="K201" s="4"/>
      <c r="L201" s="4"/>
      <c r="M201" s="4"/>
      <c r="N201" s="4"/>
      <c r="O201" s="4"/>
      <c r="P201" s="4"/>
      <c r="Q201" s="4"/>
      <c r="R201" s="4"/>
      <c r="S201" s="4" t="s">
        <v>494</v>
      </c>
      <c r="T201" s="4" t="s">
        <v>495</v>
      </c>
      <c r="U201" s="4" t="s">
        <v>496</v>
      </c>
      <c r="V201" s="4" t="s">
        <v>497</v>
      </c>
      <c r="W201" s="4"/>
      <c r="X201" s="4"/>
      <c r="Y201" s="4"/>
      <c r="Z201" s="4"/>
      <c r="AA201" s="4"/>
      <c r="AB201" s="4"/>
      <c r="AC201" s="4"/>
      <c r="AD201" s="4"/>
      <c r="AE201" s="4">
        <v>1036</v>
      </c>
      <c r="AF201" s="4">
        <v>72</v>
      </c>
      <c r="AG201" s="4">
        <v>10</v>
      </c>
    </row>
    <row r="202" spans="1:34" ht="13" x14ac:dyDescent="0.3">
      <c r="A202" s="4" t="s">
        <v>33</v>
      </c>
      <c r="B202" s="4">
        <v>1243</v>
      </c>
      <c r="C202" s="4" t="s">
        <v>488</v>
      </c>
      <c r="D202" s="5">
        <v>44771</v>
      </c>
      <c r="E202" s="6"/>
      <c r="F202" s="6" t="s">
        <v>35</v>
      </c>
      <c r="G202" s="6" t="s">
        <v>40</v>
      </c>
      <c r="H202" s="6">
        <v>53.8</v>
      </c>
      <c r="I202" s="6">
        <v>35.6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>
        <v>646</v>
      </c>
      <c r="AF202" s="4">
        <v>38</v>
      </c>
      <c r="AG202" s="4"/>
    </row>
    <row r="203" spans="1:34" ht="13" x14ac:dyDescent="0.3">
      <c r="A203" s="4" t="s">
        <v>33</v>
      </c>
      <c r="B203" s="4">
        <v>1245</v>
      </c>
      <c r="C203" s="4" t="s">
        <v>488</v>
      </c>
      <c r="D203" s="5">
        <v>44769</v>
      </c>
      <c r="E203" s="6" t="s">
        <v>498</v>
      </c>
      <c r="F203" s="6" t="s">
        <v>35</v>
      </c>
      <c r="G203" s="6" t="s">
        <v>40</v>
      </c>
      <c r="H203" s="6">
        <v>61.8</v>
      </c>
      <c r="I203" s="6">
        <v>41.8</v>
      </c>
      <c r="J203" s="4"/>
      <c r="K203" s="4"/>
      <c r="L203" s="4"/>
      <c r="M203" s="4"/>
      <c r="N203" s="4"/>
      <c r="O203" s="4"/>
      <c r="P203" s="4"/>
      <c r="Q203" s="4"/>
      <c r="R203" s="4"/>
      <c r="S203" s="4">
        <v>7.9</v>
      </c>
      <c r="T203" s="4">
        <v>7.9</v>
      </c>
      <c r="U203" s="4"/>
      <c r="V203" s="4"/>
      <c r="W203" s="4">
        <v>25</v>
      </c>
      <c r="X203" s="4">
        <v>28</v>
      </c>
      <c r="Y203" s="4"/>
      <c r="Z203" s="4"/>
      <c r="AA203" s="4"/>
      <c r="AB203" s="4"/>
      <c r="AC203" s="4"/>
      <c r="AD203" s="4"/>
      <c r="AE203" s="4">
        <v>1086</v>
      </c>
      <c r="AF203" s="4">
        <v>64</v>
      </c>
      <c r="AG203" s="4">
        <v>8</v>
      </c>
    </row>
    <row r="204" spans="1:34" ht="13" x14ac:dyDescent="0.3">
      <c r="A204" s="4" t="s">
        <v>33</v>
      </c>
      <c r="B204" s="4">
        <v>1258</v>
      </c>
      <c r="C204" s="4" t="s">
        <v>488</v>
      </c>
      <c r="D204" s="5">
        <v>44543</v>
      </c>
      <c r="E204" s="6" t="s">
        <v>499</v>
      </c>
      <c r="F204" s="6" t="s">
        <v>35</v>
      </c>
      <c r="G204" s="6" t="s">
        <v>40</v>
      </c>
      <c r="H204" s="6">
        <v>15.1</v>
      </c>
      <c r="I204" s="6">
        <v>10.5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4" ht="13" x14ac:dyDescent="0.3">
      <c r="A205" s="4" t="s">
        <v>581</v>
      </c>
      <c r="B205" s="4">
        <f>COUNT(B5:B204)</f>
        <v>200</v>
      </c>
      <c r="C205" s="4"/>
      <c r="D205" s="5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4" ht="32.5" x14ac:dyDescent="0.65">
      <c r="A206" s="12"/>
      <c r="B206" s="4"/>
      <c r="C206" s="4"/>
      <c r="D206" s="5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4" ht="13" x14ac:dyDescent="0.3">
      <c r="A207" s="4"/>
      <c r="B207" s="4"/>
      <c r="C207" s="4"/>
      <c r="D207" s="5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4" ht="13" x14ac:dyDescent="0.3">
      <c r="A208" s="58" t="s">
        <v>589</v>
      </c>
      <c r="B208" s="59"/>
      <c r="D208" s="58" t="s">
        <v>590</v>
      </c>
      <c r="E208" s="59"/>
      <c r="F208" s="3"/>
      <c r="G208" s="3"/>
      <c r="H208" s="3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" x14ac:dyDescent="0.3">
      <c r="A209" s="14" t="s">
        <v>581</v>
      </c>
      <c r="B209">
        <f>B205</f>
        <v>200</v>
      </c>
      <c r="D209" s="14" t="s">
        <v>581</v>
      </c>
      <c r="E209">
        <f>B205</f>
        <v>200</v>
      </c>
      <c r="F209" s="6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4" ht="13" x14ac:dyDescent="0.3">
      <c r="A210" s="14" t="s">
        <v>582</v>
      </c>
      <c r="B210" s="16">
        <f>1+3.322*LOG(B209)</f>
        <v>8.6440216455957462</v>
      </c>
      <c r="C210">
        <v>9</v>
      </c>
      <c r="D210" s="14" t="s">
        <v>582</v>
      </c>
      <c r="E210" s="16">
        <f>1+3.322*LOG(E209)</f>
        <v>8.6440216455957462</v>
      </c>
      <c r="F210" s="6">
        <v>9</v>
      </c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4" ht="13" x14ac:dyDescent="0.3">
      <c r="A211" s="14" t="s">
        <v>583</v>
      </c>
      <c r="B211">
        <f>MIN(H5:H204)</f>
        <v>13.2</v>
      </c>
      <c r="D211" s="14" t="s">
        <v>583</v>
      </c>
      <c r="E211">
        <f>MIN(I5:I204)</f>
        <v>8.8000000000000007</v>
      </c>
      <c r="F211" s="6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14"/>
    </row>
    <row r="212" spans="1:34" ht="13" x14ac:dyDescent="0.3">
      <c r="A212" s="14" t="s">
        <v>584</v>
      </c>
      <c r="B212">
        <f>MAX(H5:H204)</f>
        <v>108.3</v>
      </c>
      <c r="D212" s="14" t="s">
        <v>584</v>
      </c>
      <c r="E212">
        <f>MAX(I5:I204)</f>
        <v>86.2</v>
      </c>
      <c r="F212" s="6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4" ht="13" x14ac:dyDescent="0.3">
      <c r="A213" s="14" t="s">
        <v>585</v>
      </c>
      <c r="B213">
        <f>B212-B211</f>
        <v>95.1</v>
      </c>
      <c r="D213" s="14" t="s">
        <v>585</v>
      </c>
      <c r="E213">
        <f>E212-E211</f>
        <v>77.400000000000006</v>
      </c>
      <c r="F213" s="6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4" ht="13" x14ac:dyDescent="0.3">
      <c r="A214" s="14" t="s">
        <v>586</v>
      </c>
      <c r="B214" s="17">
        <f>B213/C210</f>
        <v>10.566666666666666</v>
      </c>
      <c r="D214" s="14" t="s">
        <v>586</v>
      </c>
      <c r="E214">
        <f>E213/F210</f>
        <v>8.6000000000000014</v>
      </c>
      <c r="F214" s="6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4" ht="13" x14ac:dyDescent="0.3">
      <c r="E215"/>
      <c r="F215" s="6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4" ht="13" x14ac:dyDescent="0.3">
      <c r="E216"/>
      <c r="F216" s="6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4" ht="13" x14ac:dyDescent="0.3">
      <c r="A217" s="14" t="s">
        <v>587</v>
      </c>
      <c r="B217" s="14" t="s">
        <v>588</v>
      </c>
      <c r="D217" s="14" t="s">
        <v>587</v>
      </c>
      <c r="E217" s="14" t="s">
        <v>588</v>
      </c>
      <c r="F217" s="6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4" ht="13" x14ac:dyDescent="0.3">
      <c r="A218">
        <f>B211</f>
        <v>13.2</v>
      </c>
      <c r="B218" s="16">
        <f>A218+$B$214</f>
        <v>23.766666666666666</v>
      </c>
      <c r="D218">
        <f>E211</f>
        <v>8.8000000000000007</v>
      </c>
      <c r="E218" s="16">
        <f>D218+$E$214</f>
        <v>17.400000000000002</v>
      </c>
      <c r="F218" s="6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4" ht="13" x14ac:dyDescent="0.3">
      <c r="A219" s="16">
        <f>B218</f>
        <v>23.766666666666666</v>
      </c>
      <c r="B219" s="16">
        <f>A219+$B$214</f>
        <v>34.333333333333329</v>
      </c>
      <c r="D219">
        <f>E218</f>
        <v>17.400000000000002</v>
      </c>
      <c r="E219" s="16">
        <f>D219+$E$214</f>
        <v>26.000000000000004</v>
      </c>
      <c r="F219" s="6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4" ht="13" x14ac:dyDescent="0.3">
      <c r="A220" s="16">
        <f t="shared" ref="A220:A225" si="0">B219</f>
        <v>34.333333333333329</v>
      </c>
      <c r="B220" s="16">
        <f t="shared" ref="B220:B225" si="1">A220+$B$214</f>
        <v>44.899999999999991</v>
      </c>
      <c r="D220">
        <f t="shared" ref="D220:D226" si="2">E219</f>
        <v>26.000000000000004</v>
      </c>
      <c r="E220" s="16">
        <f t="shared" ref="E220:E226" si="3">D220+$E$214</f>
        <v>34.600000000000009</v>
      </c>
      <c r="F220" s="6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4" ht="13" x14ac:dyDescent="0.3">
      <c r="A221" s="16">
        <f t="shared" si="0"/>
        <v>44.899999999999991</v>
      </c>
      <c r="B221" s="16">
        <f t="shared" si="1"/>
        <v>55.466666666666654</v>
      </c>
      <c r="D221">
        <f t="shared" si="2"/>
        <v>34.600000000000009</v>
      </c>
      <c r="E221" s="16">
        <f t="shared" si="3"/>
        <v>43.20000000000001</v>
      </c>
      <c r="F221" s="6"/>
      <c r="G221" s="6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4" ht="13" x14ac:dyDescent="0.3">
      <c r="A222" s="16">
        <f t="shared" si="0"/>
        <v>55.466666666666654</v>
      </c>
      <c r="B222" s="16">
        <f t="shared" si="1"/>
        <v>66.033333333333317</v>
      </c>
      <c r="D222">
        <f t="shared" si="2"/>
        <v>43.20000000000001</v>
      </c>
      <c r="E222" s="16">
        <f t="shared" si="3"/>
        <v>51.800000000000011</v>
      </c>
      <c r="F222" s="6"/>
      <c r="G222" s="6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4" ht="13" x14ac:dyDescent="0.3">
      <c r="A223" s="16">
        <f t="shared" si="0"/>
        <v>66.033333333333317</v>
      </c>
      <c r="B223" s="16">
        <f t="shared" si="1"/>
        <v>76.59999999999998</v>
      </c>
      <c r="D223">
        <f t="shared" si="2"/>
        <v>51.800000000000011</v>
      </c>
      <c r="E223" s="16">
        <f t="shared" si="3"/>
        <v>60.400000000000013</v>
      </c>
      <c r="F223" s="6"/>
      <c r="G223" s="6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4" ht="13" x14ac:dyDescent="0.3">
      <c r="A224" s="16">
        <f t="shared" si="0"/>
        <v>76.59999999999998</v>
      </c>
      <c r="B224" s="16">
        <f t="shared" si="1"/>
        <v>87.166666666666643</v>
      </c>
      <c r="D224">
        <f t="shared" si="2"/>
        <v>60.400000000000013</v>
      </c>
      <c r="E224" s="16">
        <f t="shared" si="3"/>
        <v>69.000000000000014</v>
      </c>
      <c r="F224" s="6"/>
      <c r="G224" s="6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3" x14ac:dyDescent="0.3">
      <c r="A225" s="16">
        <f t="shared" si="0"/>
        <v>87.166666666666643</v>
      </c>
      <c r="B225" s="16">
        <f t="shared" si="1"/>
        <v>97.733333333333306</v>
      </c>
      <c r="D225">
        <f t="shared" si="2"/>
        <v>69.000000000000014</v>
      </c>
      <c r="E225" s="16">
        <f t="shared" si="3"/>
        <v>77.600000000000023</v>
      </c>
      <c r="F225" s="6"/>
      <c r="G225" s="6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3" x14ac:dyDescent="0.3">
      <c r="A226" s="16">
        <f>B225</f>
        <v>97.733333333333306</v>
      </c>
      <c r="B226" s="16">
        <f>A226+$B$214</f>
        <v>108.29999999999997</v>
      </c>
      <c r="D226">
        <f t="shared" si="2"/>
        <v>77.600000000000023</v>
      </c>
      <c r="E226" s="16">
        <f t="shared" si="3"/>
        <v>86.200000000000017</v>
      </c>
      <c r="F226" s="6"/>
      <c r="G226" s="6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3" x14ac:dyDescent="0.3">
      <c r="B227" s="16"/>
      <c r="E227" s="16"/>
      <c r="F227" s="6"/>
      <c r="G227" s="6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3" x14ac:dyDescent="0.3">
      <c r="E228"/>
      <c r="F228" s="6"/>
      <c r="G228" s="6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3.5" thickBot="1" x14ac:dyDescent="0.35">
      <c r="E229"/>
      <c r="F229" s="6"/>
      <c r="G229" s="6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3" x14ac:dyDescent="0.3">
      <c r="A230" s="42" t="s">
        <v>591</v>
      </c>
      <c r="B230" s="42" t="s">
        <v>592</v>
      </c>
      <c r="D230" s="42" t="s">
        <v>591</v>
      </c>
      <c r="E230" s="42" t="s">
        <v>592</v>
      </c>
      <c r="F230" s="6"/>
      <c r="G230" s="6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3" x14ac:dyDescent="0.3">
      <c r="A231" s="16">
        <v>23.766666666666666</v>
      </c>
      <c r="B231">
        <v>5</v>
      </c>
      <c r="D231" s="16">
        <v>17.400000000000002</v>
      </c>
      <c r="E231">
        <v>5</v>
      </c>
      <c r="F231" s="6"/>
      <c r="G231" s="6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3" x14ac:dyDescent="0.3">
      <c r="A232" s="16">
        <v>34.333333333333329</v>
      </c>
      <c r="B232">
        <v>1</v>
      </c>
      <c r="D232" s="16">
        <v>26.000000000000004</v>
      </c>
      <c r="E232">
        <v>2</v>
      </c>
      <c r="F232" s="6"/>
      <c r="G232" s="6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3" x14ac:dyDescent="0.3">
      <c r="A233" s="16">
        <v>44.899999999999991</v>
      </c>
      <c r="B233">
        <v>13</v>
      </c>
      <c r="D233" s="16">
        <v>34.600000000000009</v>
      </c>
      <c r="E233">
        <v>26</v>
      </c>
      <c r="F233" s="6"/>
      <c r="G233" s="6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3" x14ac:dyDescent="0.3">
      <c r="A234" s="16">
        <v>55.466666666666654</v>
      </c>
      <c r="B234">
        <v>19</v>
      </c>
      <c r="D234" s="16">
        <v>43.20000000000001</v>
      </c>
      <c r="E234">
        <v>31</v>
      </c>
      <c r="F234" s="6"/>
      <c r="G234" s="6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3" x14ac:dyDescent="0.3">
      <c r="A235" s="16">
        <v>66.033333333333317</v>
      </c>
      <c r="B235">
        <v>31</v>
      </c>
      <c r="D235" s="16">
        <v>51.800000000000011</v>
      </c>
      <c r="E235">
        <v>53</v>
      </c>
      <c r="F235" s="6"/>
      <c r="G235" s="6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3" x14ac:dyDescent="0.3">
      <c r="A236" s="16">
        <v>76.59999999999998</v>
      </c>
      <c r="B236">
        <v>60</v>
      </c>
      <c r="D236" s="16">
        <v>60.400000000000013</v>
      </c>
      <c r="E236">
        <v>56</v>
      </c>
      <c r="F236" s="6"/>
      <c r="G236" s="6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3" x14ac:dyDescent="0.3">
      <c r="A237" s="16">
        <v>87.166666666666643</v>
      </c>
      <c r="B237">
        <v>46</v>
      </c>
      <c r="D237" s="16">
        <v>69.000000000000014</v>
      </c>
      <c r="E237">
        <v>25</v>
      </c>
      <c r="F237" s="6"/>
      <c r="G237" s="6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3" x14ac:dyDescent="0.3">
      <c r="A238" s="16">
        <v>97.733333333333306</v>
      </c>
      <c r="B238">
        <v>24</v>
      </c>
      <c r="D238" s="16">
        <v>77.600000000000023</v>
      </c>
      <c r="E238">
        <v>0</v>
      </c>
      <c r="F238" s="6"/>
      <c r="G238" s="6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3" x14ac:dyDescent="0.3">
      <c r="A239" s="32">
        <v>108.29999999999997</v>
      </c>
      <c r="B239" s="33">
        <v>1</v>
      </c>
      <c r="D239" s="32">
        <v>86.200000000000017</v>
      </c>
      <c r="E239" s="33">
        <v>2</v>
      </c>
      <c r="F239" s="6"/>
      <c r="G239" s="6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3" x14ac:dyDescent="0.3">
      <c r="E240"/>
      <c r="F240" s="6"/>
      <c r="G240" s="6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3" x14ac:dyDescent="0.3">
      <c r="E241"/>
      <c r="F241" s="6"/>
      <c r="G241" s="6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3" x14ac:dyDescent="0.3">
      <c r="A242" s="4"/>
      <c r="B242" s="4"/>
      <c r="C242" s="4"/>
      <c r="D242" s="5"/>
      <c r="E242" s="6"/>
      <c r="F242" s="6"/>
      <c r="G242" s="6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3" x14ac:dyDescent="0.3">
      <c r="A243" s="4"/>
      <c r="B243" s="4"/>
      <c r="C243" s="4"/>
      <c r="D243" s="5"/>
      <c r="E243" s="6"/>
      <c r="F243" s="6"/>
      <c r="G243" s="6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3" x14ac:dyDescent="0.3">
      <c r="A244" s="4"/>
      <c r="B244" s="4"/>
      <c r="C244" s="4"/>
      <c r="D244" s="5"/>
      <c r="E244" s="6"/>
      <c r="F244" s="6"/>
      <c r="G244" s="6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3" x14ac:dyDescent="0.3">
      <c r="A245" s="4"/>
      <c r="B245" s="4"/>
      <c r="C245" s="4"/>
      <c r="D245" s="5"/>
      <c r="E245" s="6"/>
      <c r="F245" s="6"/>
      <c r="G245" s="6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3" x14ac:dyDescent="0.3">
      <c r="A246" s="4"/>
      <c r="B246" s="4"/>
      <c r="C246" s="4"/>
      <c r="D246" s="5"/>
      <c r="E246" s="6"/>
      <c r="F246" s="6"/>
      <c r="G246" s="6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3" x14ac:dyDescent="0.3">
      <c r="A247" s="4"/>
      <c r="B247" s="4"/>
      <c r="C247" s="4"/>
      <c r="D247" s="5"/>
      <c r="E247" s="6"/>
      <c r="F247" s="6"/>
      <c r="G247" s="6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3" x14ac:dyDescent="0.3">
      <c r="A248" s="4"/>
      <c r="B248" s="4"/>
      <c r="C248" s="4"/>
      <c r="D248" s="5"/>
      <c r="E248" s="6"/>
      <c r="F248" s="6"/>
      <c r="G248" s="6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3" x14ac:dyDescent="0.3">
      <c r="A249" s="4"/>
      <c r="B249" s="4"/>
      <c r="C249" s="4"/>
      <c r="D249" s="5"/>
      <c r="E249" s="6"/>
      <c r="F249" s="6"/>
      <c r="G249" s="6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3" x14ac:dyDescent="0.3">
      <c r="A250" s="4"/>
      <c r="B250" s="4"/>
      <c r="C250" s="4"/>
      <c r="D250" s="5"/>
      <c r="E250" s="6"/>
      <c r="F250" s="6"/>
      <c r="G250" s="6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3" x14ac:dyDescent="0.3">
      <c r="A251" s="4"/>
      <c r="B251" s="4"/>
      <c r="C251" s="4"/>
      <c r="D251" s="4"/>
      <c r="E251" s="6"/>
      <c r="F251" s="6"/>
      <c r="G251" s="6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3" x14ac:dyDescent="0.3">
      <c r="A252" s="4"/>
      <c r="B252" s="4"/>
      <c r="C252" s="4"/>
      <c r="D252" s="5"/>
      <c r="E252" s="6"/>
      <c r="F252" s="6"/>
      <c r="G252" s="6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3" x14ac:dyDescent="0.3">
      <c r="A253" s="4"/>
      <c r="B253" s="4"/>
      <c r="C253" s="4"/>
      <c r="D253" s="4"/>
      <c r="E253" s="6"/>
      <c r="F253" s="6"/>
      <c r="G253" s="6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3" x14ac:dyDescent="0.3">
      <c r="A254" s="4"/>
      <c r="B254" s="4"/>
      <c r="C254" s="4"/>
      <c r="D254" s="4"/>
      <c r="E254" s="6"/>
      <c r="F254" s="6"/>
      <c r="G254" s="6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3" x14ac:dyDescent="0.3">
      <c r="A255" s="4"/>
      <c r="B255" s="4"/>
      <c r="C255" s="4"/>
      <c r="D255" s="5"/>
      <c r="E255" s="6"/>
      <c r="F255" s="6"/>
      <c r="G255" s="6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3" x14ac:dyDescent="0.3">
      <c r="A256" s="4"/>
      <c r="B256" s="4"/>
      <c r="C256" s="4"/>
      <c r="D256" s="5"/>
      <c r="E256" s="6"/>
      <c r="F256" s="6"/>
      <c r="G256" s="6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3" x14ac:dyDescent="0.3">
      <c r="A257" s="4"/>
      <c r="B257" s="4"/>
      <c r="C257" s="4"/>
      <c r="D257" s="5"/>
      <c r="E257" s="6"/>
      <c r="F257" s="6"/>
      <c r="G257" s="6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3" x14ac:dyDescent="0.3">
      <c r="A258" s="4"/>
      <c r="B258" s="4"/>
      <c r="C258" s="4"/>
      <c r="D258" s="5"/>
      <c r="E258" s="6"/>
      <c r="F258" s="6"/>
      <c r="G258" s="6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3" x14ac:dyDescent="0.3">
      <c r="A259" s="4"/>
      <c r="B259" s="4"/>
      <c r="C259" s="4"/>
      <c r="D259" s="5"/>
      <c r="E259" s="6"/>
      <c r="F259" s="6"/>
      <c r="G259" s="6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3" x14ac:dyDescent="0.3">
      <c r="A260" s="4"/>
      <c r="B260" s="4"/>
      <c r="C260" s="4"/>
      <c r="D260" s="5"/>
      <c r="E260" s="6"/>
      <c r="F260" s="6"/>
      <c r="G260" s="6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3" x14ac:dyDescent="0.3">
      <c r="A261" s="4"/>
      <c r="B261" s="4"/>
      <c r="C261" s="4"/>
      <c r="D261" s="5"/>
      <c r="E261" s="6"/>
      <c r="F261" s="6"/>
      <c r="G261" s="6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3" x14ac:dyDescent="0.3">
      <c r="A262" s="58" t="s">
        <v>595</v>
      </c>
      <c r="B262" s="59"/>
      <c r="C262" s="59"/>
      <c r="D262" s="59"/>
      <c r="E262" s="59"/>
      <c r="F262" s="59"/>
      <c r="G262"/>
      <c r="H262" s="58" t="s">
        <v>596</v>
      </c>
      <c r="I262" s="59"/>
      <c r="J262" s="59"/>
      <c r="K262" s="59"/>
      <c r="L262" s="59"/>
      <c r="M262" s="59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3" x14ac:dyDescent="0.3">
      <c r="A263" s="59"/>
      <c r="B263" s="59"/>
      <c r="C263" s="59"/>
      <c r="D263" s="59"/>
      <c r="E263" s="59"/>
      <c r="F263" s="59"/>
      <c r="G263"/>
      <c r="H263" s="59"/>
      <c r="I263" s="59"/>
      <c r="J263" s="59"/>
      <c r="K263" s="59"/>
      <c r="L263" s="59"/>
      <c r="M263" s="59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3" x14ac:dyDescent="0.3">
      <c r="A264" s="4"/>
      <c r="B264" s="4"/>
      <c r="C264" s="4"/>
      <c r="D264" s="5"/>
      <c r="E264" s="6"/>
      <c r="F264" s="6"/>
      <c r="G264" s="6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3" x14ac:dyDescent="0.3">
      <c r="A265" s="4"/>
      <c r="B265" s="4"/>
      <c r="C265" s="4"/>
      <c r="D265" s="5"/>
      <c r="E265" s="6"/>
      <c r="F265" s="6"/>
      <c r="G265" s="6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3" x14ac:dyDescent="0.3">
      <c r="A266" s="4"/>
      <c r="B266" s="4"/>
      <c r="C266" s="4"/>
      <c r="D266" s="5"/>
      <c r="E266" s="6"/>
      <c r="F266" s="6"/>
      <c r="G266" s="6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3" x14ac:dyDescent="0.3">
      <c r="A267" s="4"/>
      <c r="B267" s="4"/>
      <c r="C267" s="4"/>
      <c r="D267" s="5"/>
      <c r="E267" s="6"/>
      <c r="F267" s="6"/>
      <c r="G267" s="6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3" x14ac:dyDescent="0.3">
      <c r="A268" s="4"/>
      <c r="B268" s="4"/>
      <c r="C268" s="4"/>
      <c r="D268" s="5"/>
      <c r="E268" s="6"/>
      <c r="F268" s="6"/>
      <c r="G268" s="6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3" x14ac:dyDescent="0.3">
      <c r="A269" s="4"/>
      <c r="B269" s="4"/>
      <c r="C269" s="4"/>
      <c r="D269" s="5"/>
      <c r="E269" s="6"/>
      <c r="F269" s="6"/>
      <c r="G269" s="6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3" x14ac:dyDescent="0.3">
      <c r="A270" s="4"/>
      <c r="B270" s="4"/>
      <c r="C270" s="4"/>
      <c r="D270" s="5"/>
      <c r="E270" s="6"/>
      <c r="F270" s="6"/>
      <c r="G270" s="6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3" x14ac:dyDescent="0.3">
      <c r="A271" s="4"/>
      <c r="B271" s="4"/>
      <c r="C271" s="4"/>
      <c r="D271" s="5"/>
      <c r="E271" s="6"/>
      <c r="F271" s="6"/>
      <c r="G271" s="6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3" x14ac:dyDescent="0.3">
      <c r="A272" s="4"/>
      <c r="B272" s="4"/>
      <c r="C272" s="4"/>
      <c r="D272" s="5"/>
      <c r="E272" s="6"/>
      <c r="F272" s="6"/>
      <c r="G272" s="6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3" x14ac:dyDescent="0.3">
      <c r="A273" s="4"/>
      <c r="B273" s="4"/>
      <c r="C273" s="4"/>
      <c r="D273" s="5"/>
      <c r="E273" s="6"/>
      <c r="F273" s="6"/>
      <c r="G273" s="6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3" x14ac:dyDescent="0.3">
      <c r="A274" s="4"/>
      <c r="B274" s="4"/>
      <c r="C274" s="4"/>
      <c r="D274" s="5"/>
      <c r="E274" s="6"/>
      <c r="F274" s="6"/>
      <c r="G274" s="6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3" x14ac:dyDescent="0.3">
      <c r="A275" s="4"/>
      <c r="B275" s="4"/>
      <c r="C275" s="4"/>
      <c r="D275" s="5"/>
      <c r="E275" s="6"/>
      <c r="F275" s="6"/>
      <c r="G275" s="6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3" x14ac:dyDescent="0.3">
      <c r="A276" s="4"/>
      <c r="B276" s="4"/>
      <c r="C276" s="4"/>
      <c r="D276" s="5"/>
      <c r="E276" s="6"/>
      <c r="F276" s="6"/>
      <c r="G276" s="6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3" x14ac:dyDescent="0.3">
      <c r="A277" s="4"/>
      <c r="B277" s="4"/>
      <c r="C277" s="4"/>
      <c r="D277" s="5"/>
      <c r="E277" s="6"/>
      <c r="F277" s="6"/>
      <c r="G277" s="6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3" x14ac:dyDescent="0.3">
      <c r="A278" s="4"/>
      <c r="B278" s="4"/>
      <c r="C278" s="4"/>
      <c r="D278" s="5"/>
      <c r="E278" s="6"/>
      <c r="F278" s="6"/>
      <c r="G278" s="6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3" x14ac:dyDescent="0.3">
      <c r="A279" s="4"/>
      <c r="B279" s="4"/>
      <c r="C279" s="4"/>
      <c r="D279" s="5"/>
      <c r="E279" s="6"/>
      <c r="F279" s="6"/>
      <c r="G279" s="6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3" x14ac:dyDescent="0.3">
      <c r="A280" s="4"/>
      <c r="B280" s="4"/>
      <c r="C280" s="4"/>
      <c r="D280" s="5"/>
      <c r="E280" s="6"/>
      <c r="F280" s="6"/>
      <c r="G280" s="6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3" x14ac:dyDescent="0.3">
      <c r="A281" s="4"/>
      <c r="B281" s="4"/>
      <c r="C281" s="4"/>
      <c r="D281" s="5"/>
      <c r="E281" s="6"/>
      <c r="F281" s="6"/>
      <c r="G281" s="6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3" x14ac:dyDescent="0.3">
      <c r="A282" s="4"/>
      <c r="B282" s="4"/>
      <c r="C282" s="4"/>
      <c r="D282" s="5"/>
      <c r="E282" s="6"/>
      <c r="F282" s="6"/>
      <c r="G282" s="6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3" x14ac:dyDescent="0.3">
      <c r="A283" s="4"/>
      <c r="B283" s="4"/>
      <c r="C283" s="4"/>
      <c r="D283" s="5"/>
      <c r="E283" s="6"/>
      <c r="F283" s="6"/>
      <c r="G283" s="6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3" x14ac:dyDescent="0.3">
      <c r="A284" s="4"/>
      <c r="B284" s="4"/>
      <c r="C284" s="4"/>
      <c r="D284" s="5"/>
      <c r="E284" s="6"/>
      <c r="F284" s="6"/>
      <c r="G284" s="6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3" x14ac:dyDescent="0.3">
      <c r="A285" s="4"/>
      <c r="B285" s="4"/>
      <c r="C285" s="4"/>
      <c r="D285" s="5"/>
      <c r="E285" s="6"/>
      <c r="F285" s="6"/>
      <c r="G285" s="6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3" x14ac:dyDescent="0.3">
      <c r="A286" s="4"/>
      <c r="B286" s="4"/>
      <c r="C286" s="4"/>
      <c r="D286" s="5"/>
      <c r="E286" s="6"/>
      <c r="F286" s="6"/>
      <c r="G286" s="6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3" x14ac:dyDescent="0.3">
      <c r="A287" s="4"/>
      <c r="B287" s="4"/>
      <c r="C287" s="4"/>
      <c r="D287" s="5"/>
      <c r="E287" s="6"/>
      <c r="F287" s="6"/>
      <c r="G287" s="6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3" x14ac:dyDescent="0.3">
      <c r="A288" s="4"/>
      <c r="B288" s="4"/>
      <c r="C288" s="4"/>
      <c r="D288" s="5"/>
      <c r="E288" s="6"/>
      <c r="F288" s="6"/>
      <c r="G288" s="6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3" x14ac:dyDescent="0.3">
      <c r="A289" s="4"/>
      <c r="B289" s="4"/>
      <c r="C289" s="4"/>
      <c r="D289" s="5"/>
      <c r="E289" s="6"/>
      <c r="F289" s="6"/>
      <c r="G289" s="6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3" x14ac:dyDescent="0.3">
      <c r="A290" s="4"/>
      <c r="B290" s="4"/>
      <c r="C290" s="4"/>
      <c r="D290" s="5"/>
      <c r="E290" s="6"/>
      <c r="F290" s="6"/>
      <c r="G290" s="6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3" x14ac:dyDescent="0.3">
      <c r="A291" s="4"/>
      <c r="B291" s="4"/>
      <c r="C291" s="4"/>
      <c r="D291" s="5"/>
      <c r="E291" s="6"/>
      <c r="F291" s="6"/>
      <c r="G291" s="6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3" x14ac:dyDescent="0.3">
      <c r="A292" s="4"/>
      <c r="B292" s="4"/>
      <c r="C292" s="4"/>
      <c r="D292" s="5"/>
      <c r="E292" s="6"/>
      <c r="F292" s="6"/>
      <c r="G292" s="6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3" x14ac:dyDescent="0.3">
      <c r="A293" s="4"/>
      <c r="B293" s="4"/>
      <c r="C293" s="4"/>
      <c r="D293" s="5"/>
      <c r="E293" s="6"/>
      <c r="F293" s="6"/>
      <c r="G293" s="6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3" x14ac:dyDescent="0.3">
      <c r="A294" s="4"/>
      <c r="B294" s="4"/>
      <c r="C294" s="4"/>
      <c r="D294" s="5"/>
      <c r="E294" s="6"/>
      <c r="F294" s="6"/>
      <c r="G294" s="6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3" x14ac:dyDescent="0.3">
      <c r="A295" s="4"/>
      <c r="B295" s="4"/>
      <c r="C295" s="4"/>
      <c r="D295" s="5"/>
      <c r="E295" s="6"/>
      <c r="F295" s="6"/>
      <c r="G295" s="6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3" x14ac:dyDescent="0.3">
      <c r="A296" s="4"/>
      <c r="B296" s="4"/>
      <c r="C296" s="4"/>
      <c r="D296" s="5"/>
      <c r="E296" s="6"/>
      <c r="F296" s="6"/>
      <c r="G296" s="6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3" x14ac:dyDescent="0.3">
      <c r="A297" s="4"/>
      <c r="B297" s="4"/>
      <c r="C297" s="4"/>
      <c r="D297" s="5"/>
      <c r="E297" s="6"/>
      <c r="F297" s="6"/>
      <c r="G297" s="6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3" x14ac:dyDescent="0.3">
      <c r="A298" s="4"/>
      <c r="B298" s="4"/>
      <c r="C298" s="4"/>
      <c r="D298" s="5"/>
      <c r="E298" s="6"/>
      <c r="F298" s="6"/>
      <c r="G298" s="6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3" x14ac:dyDescent="0.3">
      <c r="A299" s="4"/>
      <c r="B299" s="4"/>
      <c r="C299" s="4"/>
      <c r="D299" s="5"/>
      <c r="E299" s="6"/>
      <c r="F299" s="6"/>
      <c r="G299" s="6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3" x14ac:dyDescent="0.3">
      <c r="A300" s="4"/>
      <c r="B300" s="4"/>
      <c r="C300" s="4"/>
      <c r="D300" s="5"/>
      <c r="E300" s="6"/>
      <c r="F300" s="6"/>
      <c r="G300" s="6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3" x14ac:dyDescent="0.3">
      <c r="A301" s="4"/>
      <c r="B301" s="4"/>
      <c r="C301" s="4"/>
      <c r="D301" s="5"/>
      <c r="E301" s="6"/>
      <c r="F301" s="6"/>
      <c r="G301" s="6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3" x14ac:dyDescent="0.3">
      <c r="A302" s="4"/>
      <c r="B302" s="4"/>
      <c r="C302" s="4"/>
      <c r="D302" s="5"/>
      <c r="E302" s="6"/>
      <c r="F302" s="6"/>
      <c r="G302" s="6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3" x14ac:dyDescent="0.3">
      <c r="A303" s="4"/>
      <c r="B303" s="4"/>
      <c r="C303" s="4"/>
      <c r="D303" s="5"/>
      <c r="E303" s="6"/>
      <c r="F303" s="6"/>
      <c r="G303" s="6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3" x14ac:dyDescent="0.3">
      <c r="A304" s="4"/>
      <c r="B304" s="4"/>
      <c r="C304" s="4"/>
      <c r="D304" s="5"/>
      <c r="E304" s="6"/>
      <c r="F304" s="6"/>
      <c r="G304" s="6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3" x14ac:dyDescent="0.3">
      <c r="A305" s="4"/>
      <c r="B305" s="4"/>
      <c r="C305" s="4"/>
      <c r="D305" s="5"/>
      <c r="E305" s="6"/>
      <c r="F305" s="6"/>
      <c r="G305" s="6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3" x14ac:dyDescent="0.3">
      <c r="A306" s="4"/>
      <c r="B306" s="4"/>
      <c r="C306" s="4"/>
      <c r="D306" s="5"/>
      <c r="E306" s="6"/>
      <c r="F306" s="6"/>
      <c r="G306" s="6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3" x14ac:dyDescent="0.3">
      <c r="A307" s="4"/>
      <c r="B307" s="4"/>
      <c r="C307" s="4"/>
      <c r="D307" s="5"/>
      <c r="E307" s="6"/>
      <c r="F307" s="6"/>
      <c r="G307" s="6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3" x14ac:dyDescent="0.3">
      <c r="A308" s="4"/>
      <c r="B308" s="4"/>
      <c r="C308" s="4"/>
      <c r="D308" s="5"/>
      <c r="E308" s="6"/>
      <c r="F308" s="6"/>
      <c r="G308" s="6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3" x14ac:dyDescent="0.3">
      <c r="A309" s="4"/>
      <c r="B309" s="4"/>
      <c r="C309" s="4"/>
      <c r="D309" s="5"/>
      <c r="E309" s="6"/>
      <c r="F309" s="6"/>
      <c r="G309" s="6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3" x14ac:dyDescent="0.3">
      <c r="A310" s="4"/>
      <c r="B310" s="4"/>
      <c r="C310" s="4"/>
      <c r="D310" s="5"/>
      <c r="E310" s="6"/>
      <c r="F310" s="6"/>
      <c r="G310" s="6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3" x14ac:dyDescent="0.3">
      <c r="A311" s="4"/>
      <c r="B311" s="4"/>
      <c r="C311" s="4"/>
      <c r="D311" s="5"/>
      <c r="E311" s="6"/>
      <c r="F311" s="6"/>
      <c r="G311" s="6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3" x14ac:dyDescent="0.3">
      <c r="A312" s="4"/>
      <c r="B312" s="4"/>
      <c r="C312" s="4"/>
      <c r="D312" s="5"/>
      <c r="E312" s="6"/>
      <c r="F312" s="6"/>
      <c r="G312" s="6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3" x14ac:dyDescent="0.3">
      <c r="A313" s="4"/>
      <c r="B313" s="4"/>
      <c r="C313" s="4"/>
      <c r="D313" s="5"/>
      <c r="E313" s="6"/>
      <c r="F313" s="6"/>
      <c r="G313" s="6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3" x14ac:dyDescent="0.3">
      <c r="A314" s="4"/>
      <c r="B314" s="4"/>
      <c r="C314" s="4"/>
      <c r="D314" s="5"/>
      <c r="E314" s="6"/>
      <c r="F314" s="6"/>
      <c r="G314" s="6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3" x14ac:dyDescent="0.3">
      <c r="A315" s="4"/>
      <c r="B315" s="4"/>
      <c r="C315" s="4"/>
      <c r="D315" s="5"/>
      <c r="E315" s="6"/>
      <c r="F315" s="6"/>
      <c r="G315" s="6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3" x14ac:dyDescent="0.3">
      <c r="A316" s="4"/>
      <c r="B316" s="4"/>
      <c r="C316" s="4"/>
      <c r="D316" s="5"/>
      <c r="E316" s="6"/>
      <c r="F316" s="6"/>
      <c r="G316" s="6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3" x14ac:dyDescent="0.3">
      <c r="A317" s="4"/>
      <c r="B317" s="4"/>
      <c r="C317" s="4"/>
      <c r="D317" s="5"/>
      <c r="E317" s="6"/>
      <c r="F317" s="6"/>
      <c r="G317" s="6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3" x14ac:dyDescent="0.3">
      <c r="A318" s="4"/>
      <c r="B318" s="4"/>
      <c r="C318" s="4"/>
      <c r="D318" s="5"/>
      <c r="E318" s="6"/>
      <c r="F318" s="6"/>
      <c r="G318" s="6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3" x14ac:dyDescent="0.3">
      <c r="A319" s="4"/>
      <c r="B319" s="4"/>
      <c r="C319" s="4"/>
      <c r="D319" s="5"/>
      <c r="E319" s="6"/>
      <c r="F319" s="6"/>
      <c r="G319" s="6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3" x14ac:dyDescent="0.3">
      <c r="A320" s="4"/>
      <c r="B320" s="4"/>
      <c r="C320" s="4"/>
      <c r="D320" s="5"/>
      <c r="E320" s="6"/>
      <c r="F320" s="6"/>
      <c r="G320" s="6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3" x14ac:dyDescent="0.3">
      <c r="A321" s="4"/>
      <c r="B321" s="4"/>
      <c r="C321" s="4"/>
      <c r="D321" s="5"/>
      <c r="E321" s="6"/>
      <c r="F321" s="6"/>
      <c r="G321" s="6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3" x14ac:dyDescent="0.3">
      <c r="A322" s="4"/>
      <c r="B322" s="4"/>
      <c r="C322" s="4"/>
      <c r="D322" s="5"/>
      <c r="E322" s="6"/>
      <c r="F322" s="6"/>
      <c r="G322" s="6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3" x14ac:dyDescent="0.3">
      <c r="A323" s="4"/>
      <c r="B323" s="4"/>
      <c r="C323" s="4"/>
      <c r="D323" s="5"/>
      <c r="E323" s="6"/>
      <c r="F323" s="6"/>
      <c r="G323" s="6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3" x14ac:dyDescent="0.3">
      <c r="A324" s="4"/>
      <c r="B324" s="4"/>
      <c r="C324" s="4"/>
      <c r="D324" s="5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3" x14ac:dyDescent="0.3">
      <c r="A325" s="4"/>
      <c r="B325" s="4"/>
      <c r="C325" s="4"/>
      <c r="D325" s="5"/>
      <c r="E325" s="6"/>
      <c r="F325" s="6"/>
      <c r="G325" s="6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3" x14ac:dyDescent="0.3">
      <c r="A326" s="4"/>
      <c r="B326" s="4"/>
      <c r="C326" s="4"/>
      <c r="D326" s="5"/>
      <c r="E326" s="6"/>
      <c r="F326" s="6"/>
      <c r="G326" s="6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3" x14ac:dyDescent="0.3">
      <c r="A327" s="4"/>
      <c r="B327" s="4"/>
      <c r="C327" s="4"/>
      <c r="D327" s="5"/>
      <c r="E327" s="6"/>
      <c r="F327" s="6"/>
      <c r="G327" s="6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3" x14ac:dyDescent="0.3">
      <c r="A328" s="4"/>
      <c r="B328" s="4"/>
      <c r="C328" s="4"/>
      <c r="D328" s="5"/>
      <c r="E328" s="6"/>
      <c r="F328" s="6"/>
      <c r="G328" s="6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3" x14ac:dyDescent="0.3">
      <c r="A329" s="4"/>
      <c r="B329" s="4"/>
      <c r="C329" s="4"/>
      <c r="D329" s="5"/>
      <c r="E329" s="6"/>
      <c r="F329" s="6"/>
      <c r="G329" s="6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3" x14ac:dyDescent="0.3">
      <c r="A330" s="4"/>
      <c r="B330" s="4"/>
      <c r="C330" s="4"/>
      <c r="D330" s="5"/>
      <c r="E330" s="6"/>
      <c r="F330" s="6"/>
      <c r="G330" s="6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3" x14ac:dyDescent="0.3">
      <c r="A331" s="4"/>
      <c r="B331" s="4"/>
      <c r="C331" s="4"/>
      <c r="D331" s="5"/>
      <c r="E331" s="6"/>
      <c r="F331" s="6"/>
      <c r="G331" s="6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3" x14ac:dyDescent="0.3">
      <c r="A332" s="4"/>
      <c r="B332" s="4"/>
      <c r="C332" s="4"/>
      <c r="D332" s="5"/>
      <c r="E332" s="6"/>
      <c r="F332" s="6"/>
      <c r="G332" s="6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3" x14ac:dyDescent="0.3">
      <c r="A333" s="4"/>
      <c r="B333" s="4"/>
      <c r="C333" s="4"/>
      <c r="D333" s="5"/>
      <c r="E333" s="6"/>
      <c r="F333" s="6"/>
      <c r="G333" s="6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3" x14ac:dyDescent="0.3">
      <c r="A334" s="4"/>
      <c r="B334" s="4"/>
      <c r="C334" s="4"/>
      <c r="D334" s="5"/>
      <c r="E334" s="6"/>
      <c r="F334" s="6"/>
      <c r="G334" s="6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3" x14ac:dyDescent="0.3">
      <c r="A335" s="4"/>
      <c r="B335" s="4"/>
      <c r="C335" s="4"/>
      <c r="D335" s="5"/>
      <c r="E335" s="6"/>
      <c r="F335" s="6"/>
      <c r="G335" s="6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13" x14ac:dyDescent="0.3">
      <c r="A336" s="4"/>
      <c r="B336" s="4"/>
      <c r="C336" s="4"/>
      <c r="D336" s="5"/>
      <c r="E336" s="6"/>
      <c r="F336" s="6"/>
      <c r="G336" s="6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13" x14ac:dyDescent="0.3">
      <c r="A337" s="4"/>
      <c r="B337" s="4"/>
      <c r="C337" s="4"/>
      <c r="D337" s="5"/>
      <c r="E337" s="6"/>
      <c r="F337" s="6"/>
      <c r="G337" s="6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13" x14ac:dyDescent="0.3">
      <c r="A338" s="4"/>
      <c r="B338" s="4"/>
      <c r="C338" s="4"/>
      <c r="D338" s="5"/>
      <c r="E338" s="6"/>
      <c r="F338" s="6"/>
      <c r="G338" s="6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13" x14ac:dyDescent="0.3">
      <c r="A339" s="4"/>
      <c r="B339" s="4"/>
      <c r="C339" s="4"/>
      <c r="D339" s="5"/>
      <c r="E339" s="6"/>
      <c r="F339" s="6"/>
      <c r="G339" s="6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13" x14ac:dyDescent="0.3">
      <c r="A340" s="4"/>
      <c r="B340" s="4"/>
      <c r="C340" s="4"/>
      <c r="D340" s="5"/>
      <c r="E340" s="6"/>
      <c r="F340" s="6"/>
      <c r="G340" s="6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13" x14ac:dyDescent="0.3">
      <c r="A341" s="4"/>
      <c r="B341" s="4"/>
      <c r="C341" s="4"/>
      <c r="D341" s="5"/>
      <c r="E341" s="6"/>
      <c r="F341" s="6"/>
      <c r="G341" s="6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13" x14ac:dyDescent="0.3">
      <c r="A342" s="4"/>
      <c r="B342" s="4"/>
      <c r="C342" s="4"/>
      <c r="D342" s="5"/>
      <c r="E342" s="6"/>
      <c r="F342" s="6"/>
      <c r="G342" s="6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13" x14ac:dyDescent="0.3">
      <c r="A343" s="4"/>
      <c r="B343" s="4"/>
      <c r="C343" s="4"/>
      <c r="D343" s="5"/>
      <c r="E343" s="6"/>
      <c r="F343" s="6"/>
      <c r="G343" s="6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13" x14ac:dyDescent="0.3">
      <c r="A344" s="4"/>
      <c r="B344" s="4"/>
      <c r="C344" s="4"/>
      <c r="D344" s="5"/>
      <c r="E344" s="6"/>
      <c r="F344" s="6"/>
      <c r="G344" s="6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13" x14ac:dyDescent="0.3">
      <c r="A345" s="4"/>
      <c r="B345" s="4"/>
      <c r="C345" s="4"/>
      <c r="D345" s="5"/>
      <c r="E345" s="6"/>
      <c r="F345" s="6"/>
      <c r="G345" s="6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13" x14ac:dyDescent="0.3">
      <c r="A346" s="4"/>
      <c r="B346" s="4"/>
      <c r="C346" s="4"/>
      <c r="D346" s="5"/>
      <c r="E346" s="6"/>
      <c r="F346" s="6"/>
      <c r="G346" s="6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13" x14ac:dyDescent="0.3">
      <c r="A347" s="4"/>
      <c r="B347" s="4"/>
      <c r="C347" s="4"/>
      <c r="D347" s="5"/>
      <c r="E347" s="6"/>
      <c r="F347" s="6"/>
      <c r="G347" s="6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13" x14ac:dyDescent="0.3">
      <c r="A348" s="4"/>
      <c r="B348" s="4"/>
      <c r="C348" s="4"/>
      <c r="D348" s="5"/>
      <c r="E348" s="6"/>
      <c r="F348" s="6"/>
      <c r="G348" s="6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13" x14ac:dyDescent="0.3">
      <c r="A349" s="4"/>
      <c r="B349" s="4"/>
      <c r="C349" s="4"/>
      <c r="D349" s="5"/>
      <c r="E349" s="6"/>
      <c r="F349" s="6"/>
      <c r="G349" s="6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13" x14ac:dyDescent="0.3">
      <c r="A350" s="4"/>
      <c r="B350" s="4"/>
      <c r="C350" s="4"/>
      <c r="D350" s="5"/>
      <c r="E350" s="6"/>
      <c r="F350" s="6"/>
      <c r="G350" s="6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13" x14ac:dyDescent="0.3">
      <c r="A351" s="4"/>
      <c r="B351" s="4"/>
      <c r="C351" s="4"/>
      <c r="D351" s="5"/>
      <c r="E351" s="6"/>
      <c r="F351" s="6"/>
      <c r="G351" s="6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13" x14ac:dyDescent="0.3">
      <c r="A352" s="4"/>
      <c r="B352" s="4"/>
      <c r="C352" s="4"/>
      <c r="D352" s="5"/>
      <c r="E352" s="6"/>
      <c r="F352" s="6"/>
      <c r="G352" s="6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13" x14ac:dyDescent="0.3">
      <c r="A353" s="4"/>
      <c r="B353" s="4"/>
      <c r="C353" s="4"/>
      <c r="D353" s="5"/>
      <c r="E353" s="6"/>
      <c r="F353" s="6"/>
      <c r="G353" s="6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13" x14ac:dyDescent="0.3">
      <c r="A354" s="4"/>
      <c r="B354" s="4"/>
      <c r="C354" s="4"/>
      <c r="D354" s="5"/>
      <c r="E354" s="6"/>
      <c r="F354" s="6"/>
      <c r="G354" s="6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13" x14ac:dyDescent="0.3">
      <c r="A355" s="4"/>
      <c r="B355" s="4"/>
      <c r="C355" s="4"/>
      <c r="D355" s="5"/>
      <c r="E355" s="6"/>
      <c r="F355" s="6"/>
      <c r="G355" s="6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13" x14ac:dyDescent="0.3">
      <c r="A356" s="4"/>
      <c r="B356" s="4"/>
      <c r="C356" s="4"/>
      <c r="D356" s="5"/>
      <c r="E356" s="6"/>
      <c r="F356" s="6"/>
      <c r="G356" s="6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13" x14ac:dyDescent="0.3">
      <c r="A357" s="4"/>
      <c r="B357" s="4"/>
      <c r="C357" s="4"/>
      <c r="D357" s="5"/>
      <c r="E357" s="6"/>
      <c r="F357" s="6"/>
      <c r="G357" s="6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13" x14ac:dyDescent="0.3">
      <c r="A358" s="4"/>
      <c r="B358" s="4"/>
      <c r="C358" s="4"/>
      <c r="D358" s="5"/>
      <c r="E358" s="6"/>
      <c r="F358" s="6"/>
      <c r="G358" s="6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13" x14ac:dyDescent="0.3">
      <c r="A359" s="4"/>
      <c r="B359" s="4"/>
      <c r="C359" s="4"/>
      <c r="D359" s="5"/>
      <c r="E359" s="6"/>
      <c r="F359" s="6"/>
      <c r="G359" s="6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13" x14ac:dyDescent="0.3">
      <c r="A360" s="4"/>
      <c r="B360" s="4"/>
      <c r="C360" s="4"/>
      <c r="D360" s="5"/>
      <c r="E360" s="6"/>
      <c r="F360" s="6"/>
      <c r="G360" s="6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13" x14ac:dyDescent="0.3">
      <c r="A361" s="4"/>
      <c r="B361" s="4"/>
      <c r="C361" s="4"/>
      <c r="D361" s="5"/>
      <c r="E361" s="6"/>
      <c r="F361" s="6"/>
      <c r="G361" s="6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13" x14ac:dyDescent="0.3">
      <c r="A362" s="4"/>
      <c r="B362" s="4"/>
      <c r="C362" s="4"/>
      <c r="D362" s="5"/>
      <c r="E362" s="6"/>
      <c r="F362" s="6"/>
      <c r="G362" s="6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13" x14ac:dyDescent="0.3">
      <c r="A363" s="4"/>
      <c r="B363" s="4"/>
      <c r="C363" s="4"/>
      <c r="D363" s="5"/>
      <c r="E363" s="6"/>
      <c r="F363" s="6"/>
      <c r="G363" s="6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13" x14ac:dyDescent="0.3">
      <c r="A364" s="4"/>
      <c r="B364" s="4"/>
      <c r="C364" s="4"/>
      <c r="D364" s="5"/>
      <c r="E364" s="6"/>
      <c r="F364" s="6"/>
      <c r="G364" s="6"/>
      <c r="H364" s="6"/>
      <c r="I364" s="6"/>
      <c r="J364" s="4"/>
      <c r="K364" s="7"/>
      <c r="L364" s="7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13" x14ac:dyDescent="0.3">
      <c r="A365" s="4"/>
      <c r="B365" s="4"/>
      <c r="C365" s="4"/>
      <c r="D365" s="5"/>
      <c r="E365" s="6"/>
      <c r="F365" s="6"/>
      <c r="G365" s="6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13" x14ac:dyDescent="0.3">
      <c r="A366" s="4"/>
      <c r="B366" s="4"/>
      <c r="C366" s="4"/>
      <c r="D366" s="5"/>
      <c r="E366" s="6"/>
      <c r="F366" s="6"/>
      <c r="G366" s="6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13" x14ac:dyDescent="0.3">
      <c r="A367" s="4"/>
      <c r="B367" s="4"/>
      <c r="C367" s="4"/>
      <c r="D367" s="5"/>
      <c r="E367" s="6"/>
      <c r="F367" s="6"/>
      <c r="G367" s="6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13" x14ac:dyDescent="0.3">
      <c r="A368" s="4"/>
      <c r="B368" s="4"/>
      <c r="C368" s="4"/>
      <c r="D368" s="5"/>
      <c r="E368" s="6"/>
      <c r="F368" s="6"/>
      <c r="G368" s="6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13" x14ac:dyDescent="0.3">
      <c r="A369" s="4"/>
      <c r="B369" s="4"/>
      <c r="C369" s="4"/>
      <c r="D369" s="5"/>
      <c r="E369" s="6"/>
      <c r="F369" s="6"/>
      <c r="G369" s="6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13" x14ac:dyDescent="0.3">
      <c r="A370" s="4"/>
      <c r="B370" s="4"/>
      <c r="C370" s="4"/>
      <c r="D370" s="5"/>
      <c r="E370" s="6"/>
      <c r="F370" s="6"/>
      <c r="G370" s="6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13" x14ac:dyDescent="0.3">
      <c r="A371" s="4"/>
      <c r="B371" s="4"/>
      <c r="C371" s="4"/>
      <c r="D371" s="5"/>
      <c r="E371" s="6"/>
      <c r="F371" s="6"/>
      <c r="G371" s="6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13" x14ac:dyDescent="0.3">
      <c r="A372" s="4"/>
      <c r="B372" s="4"/>
      <c r="C372" s="4"/>
      <c r="D372" s="5"/>
      <c r="E372" s="6"/>
      <c r="F372" s="6"/>
      <c r="G372" s="6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13" x14ac:dyDescent="0.3">
      <c r="A373" s="4"/>
      <c r="B373" s="4"/>
      <c r="C373" s="4"/>
      <c r="D373" s="5"/>
      <c r="E373" s="6"/>
      <c r="F373" s="6"/>
      <c r="G373" s="6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13" x14ac:dyDescent="0.3">
      <c r="A374" s="4"/>
      <c r="B374" s="4"/>
      <c r="C374" s="4"/>
      <c r="D374" s="5"/>
      <c r="E374" s="6"/>
      <c r="F374" s="6"/>
      <c r="G374" s="6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13" x14ac:dyDescent="0.3">
      <c r="A375" s="4"/>
      <c r="B375" s="4"/>
      <c r="C375" s="4"/>
      <c r="D375" s="5"/>
      <c r="E375" s="6"/>
      <c r="F375" s="6"/>
      <c r="G375" s="6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13" x14ac:dyDescent="0.3">
      <c r="A376" s="4"/>
      <c r="B376" s="4"/>
      <c r="C376" s="4"/>
      <c r="D376" s="5"/>
      <c r="E376" s="6"/>
      <c r="F376" s="6"/>
      <c r="G376" s="6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13" x14ac:dyDescent="0.3">
      <c r="A377" s="4"/>
      <c r="B377" s="4"/>
      <c r="C377" s="4"/>
      <c r="D377" s="5"/>
      <c r="E377" s="6"/>
      <c r="F377" s="6"/>
      <c r="G377" s="6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13" x14ac:dyDescent="0.3">
      <c r="A378" s="4"/>
      <c r="B378" s="4"/>
      <c r="C378" s="4"/>
      <c r="D378" s="5"/>
      <c r="E378" s="6"/>
      <c r="F378" s="6"/>
      <c r="G378" s="6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13" x14ac:dyDescent="0.3">
      <c r="A379" s="4"/>
      <c r="B379" s="4"/>
      <c r="C379" s="4"/>
      <c r="D379" s="5"/>
      <c r="E379" s="6"/>
      <c r="F379" s="6"/>
      <c r="G379" s="6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13" x14ac:dyDescent="0.3">
      <c r="A380" s="4"/>
      <c r="B380" s="4"/>
      <c r="C380" s="4"/>
      <c r="D380" s="5"/>
      <c r="E380" s="6"/>
      <c r="F380" s="6"/>
      <c r="G380" s="6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13" x14ac:dyDescent="0.3">
      <c r="A381" s="4"/>
      <c r="B381" s="4"/>
      <c r="C381" s="4"/>
      <c r="D381" s="5"/>
      <c r="E381" s="6"/>
      <c r="F381" s="6"/>
      <c r="G381" s="6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13" x14ac:dyDescent="0.3">
      <c r="A382" s="4"/>
      <c r="B382" s="4"/>
      <c r="C382" s="4"/>
      <c r="D382" s="5"/>
      <c r="E382" s="6"/>
      <c r="F382" s="6"/>
      <c r="G382" s="6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13" x14ac:dyDescent="0.3">
      <c r="A383" s="4"/>
      <c r="B383" s="4"/>
      <c r="C383" s="4"/>
      <c r="D383" s="5"/>
      <c r="E383" s="6"/>
      <c r="F383" s="6"/>
      <c r="G383" s="6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13" x14ac:dyDescent="0.3">
      <c r="A384" s="4"/>
      <c r="B384" s="4"/>
      <c r="C384" s="4"/>
      <c r="D384" s="5"/>
      <c r="E384" s="6"/>
      <c r="F384" s="6"/>
      <c r="G384" s="6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13" x14ac:dyDescent="0.3">
      <c r="A385" s="4"/>
      <c r="B385" s="4"/>
      <c r="C385" s="4"/>
      <c r="D385" s="5"/>
      <c r="E385" s="6"/>
      <c r="F385" s="6"/>
      <c r="G385" s="6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13" x14ac:dyDescent="0.3">
      <c r="A386" s="4"/>
      <c r="B386" s="4"/>
      <c r="C386" s="4"/>
      <c r="D386" s="5"/>
      <c r="E386" s="6"/>
      <c r="F386" s="6"/>
      <c r="G386" s="6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13" x14ac:dyDescent="0.3">
      <c r="A387" s="4"/>
      <c r="B387" s="4"/>
      <c r="C387" s="4"/>
      <c r="D387" s="5"/>
      <c r="E387" s="6"/>
      <c r="F387" s="6"/>
      <c r="G387" s="6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13" x14ac:dyDescent="0.3">
      <c r="A388" s="4"/>
      <c r="B388" s="4"/>
      <c r="C388" s="4"/>
      <c r="D388" s="5"/>
      <c r="E388" s="6"/>
      <c r="F388" s="6"/>
      <c r="G388" s="6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13" x14ac:dyDescent="0.3">
      <c r="A389" s="4"/>
      <c r="B389" s="4"/>
      <c r="C389" s="4"/>
      <c r="D389" s="5"/>
      <c r="E389" s="6"/>
      <c r="F389" s="6"/>
      <c r="G389" s="6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13" x14ac:dyDescent="0.3">
      <c r="A390" s="4"/>
      <c r="B390" s="4"/>
      <c r="C390" s="4"/>
      <c r="D390" s="5"/>
      <c r="E390" s="6"/>
      <c r="F390" s="6"/>
      <c r="G390" s="6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13" x14ac:dyDescent="0.3">
      <c r="A391" s="4"/>
      <c r="B391" s="4"/>
      <c r="C391" s="4"/>
      <c r="D391" s="5"/>
      <c r="E391" s="6"/>
      <c r="F391" s="6"/>
      <c r="G391" s="6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13" x14ac:dyDescent="0.3">
      <c r="A392" s="4"/>
      <c r="B392" s="4"/>
      <c r="C392" s="4"/>
      <c r="D392" s="5"/>
      <c r="E392" s="6"/>
      <c r="F392" s="6"/>
      <c r="G392" s="6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13" x14ac:dyDescent="0.3">
      <c r="A393" s="4"/>
      <c r="B393" s="4"/>
      <c r="C393" s="4"/>
      <c r="D393" s="5"/>
      <c r="E393" s="6"/>
      <c r="F393" s="6"/>
      <c r="G393" s="6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13" x14ac:dyDescent="0.3">
      <c r="A394" s="4"/>
      <c r="B394" s="4"/>
      <c r="C394" s="4"/>
      <c r="D394" s="5"/>
      <c r="E394" s="6"/>
      <c r="F394" s="6"/>
      <c r="G394" s="6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13" x14ac:dyDescent="0.3">
      <c r="A395" s="4"/>
      <c r="B395" s="4"/>
      <c r="C395" s="4"/>
      <c r="D395" s="5"/>
      <c r="E395" s="6"/>
      <c r="F395" s="6"/>
      <c r="G395" s="6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13" x14ac:dyDescent="0.3">
      <c r="A396" s="4"/>
      <c r="B396" s="4"/>
      <c r="C396" s="4"/>
      <c r="D396" s="5"/>
      <c r="E396" s="6"/>
      <c r="F396" s="6"/>
      <c r="G396" s="6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13" x14ac:dyDescent="0.3">
      <c r="A397" s="4"/>
      <c r="B397" s="4"/>
      <c r="C397" s="4"/>
      <c r="D397" s="5"/>
      <c r="E397" s="6"/>
      <c r="F397" s="6"/>
      <c r="G397" s="6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13" x14ac:dyDescent="0.3">
      <c r="A398" s="4"/>
      <c r="B398" s="4"/>
      <c r="C398" s="4"/>
      <c r="D398" s="5"/>
      <c r="E398" s="6"/>
      <c r="F398" s="6"/>
      <c r="G398" s="6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13" x14ac:dyDescent="0.3">
      <c r="A399" s="4"/>
      <c r="B399" s="4"/>
      <c r="C399" s="4"/>
      <c r="D399" s="5"/>
      <c r="E399" s="6"/>
      <c r="F399" s="6"/>
      <c r="G399" s="6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13" x14ac:dyDescent="0.3">
      <c r="A400" s="4"/>
      <c r="B400" s="4"/>
      <c r="C400" s="4"/>
      <c r="D400" s="5"/>
      <c r="E400" s="6"/>
      <c r="F400" s="6"/>
      <c r="G400" s="6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13" x14ac:dyDescent="0.3">
      <c r="A401" s="4"/>
      <c r="B401" s="4"/>
      <c r="C401" s="4"/>
      <c r="D401" s="5"/>
      <c r="E401" s="6"/>
      <c r="F401" s="6"/>
      <c r="G401" s="6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13" x14ac:dyDescent="0.3">
      <c r="A402" s="4"/>
      <c r="B402" s="4"/>
      <c r="C402" s="4"/>
      <c r="D402" s="5"/>
      <c r="E402" s="6"/>
      <c r="F402" s="6"/>
      <c r="G402" s="6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13" x14ac:dyDescent="0.3">
      <c r="A403" s="4"/>
      <c r="B403" s="4"/>
      <c r="C403" s="4"/>
      <c r="D403" s="5"/>
      <c r="E403" s="6"/>
      <c r="F403" s="6"/>
      <c r="G403" s="6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13" x14ac:dyDescent="0.3">
      <c r="A404" s="4"/>
      <c r="B404" s="4"/>
      <c r="C404" s="4"/>
      <c r="D404" s="5"/>
      <c r="E404" s="6"/>
      <c r="F404" s="6"/>
      <c r="G404" s="6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13" x14ac:dyDescent="0.3">
      <c r="A405" s="4"/>
      <c r="B405" s="4"/>
      <c r="C405" s="4"/>
      <c r="D405" s="5"/>
      <c r="E405" s="6"/>
      <c r="F405" s="6"/>
      <c r="G405" s="6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13" x14ac:dyDescent="0.3">
      <c r="A406" s="4"/>
      <c r="B406" s="4"/>
      <c r="C406" s="4"/>
      <c r="D406" s="5"/>
      <c r="E406" s="6"/>
      <c r="F406" s="6"/>
      <c r="G406" s="6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13" x14ac:dyDescent="0.3">
      <c r="A407" s="4"/>
      <c r="B407" s="4"/>
      <c r="C407" s="4"/>
      <c r="D407" s="5"/>
      <c r="E407" s="6"/>
      <c r="F407" s="6"/>
      <c r="G407" s="6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13" x14ac:dyDescent="0.3">
      <c r="A408" s="4"/>
      <c r="B408" s="4"/>
      <c r="C408" s="4"/>
      <c r="D408" s="5"/>
      <c r="E408" s="6"/>
      <c r="F408" s="6"/>
      <c r="G408" s="6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13" x14ac:dyDescent="0.3">
      <c r="A409" s="4"/>
      <c r="B409" s="4"/>
      <c r="C409" s="4"/>
      <c r="D409" s="5"/>
      <c r="E409" s="6"/>
      <c r="F409" s="6"/>
      <c r="G409" s="6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13" x14ac:dyDescent="0.3">
      <c r="A410" s="4"/>
      <c r="B410" s="4"/>
      <c r="C410" s="4"/>
      <c r="D410" s="5"/>
      <c r="E410" s="6"/>
      <c r="F410" s="6"/>
      <c r="G410" s="6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13" x14ac:dyDescent="0.3">
      <c r="A411" s="4"/>
      <c r="B411" s="4"/>
      <c r="C411" s="4"/>
      <c r="D411" s="5"/>
      <c r="E411" s="6"/>
      <c r="F411" s="6"/>
      <c r="G411" s="6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13" x14ac:dyDescent="0.3">
      <c r="A412" s="4"/>
      <c r="B412" s="4"/>
      <c r="C412" s="4"/>
      <c r="D412" s="5"/>
      <c r="E412" s="6"/>
      <c r="F412" s="6"/>
      <c r="G412" s="6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13" x14ac:dyDescent="0.3">
      <c r="A413" s="4"/>
      <c r="B413" s="4"/>
      <c r="C413" s="4"/>
      <c r="D413" s="5"/>
      <c r="E413" s="6"/>
      <c r="F413" s="6"/>
      <c r="G413" s="6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13" x14ac:dyDescent="0.3">
      <c r="A414" s="4"/>
      <c r="B414" s="4"/>
      <c r="C414" s="4"/>
      <c r="D414" s="5"/>
      <c r="E414" s="6"/>
      <c r="F414" s="6"/>
      <c r="G414" s="6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13" x14ac:dyDescent="0.3">
      <c r="A415" s="4"/>
      <c r="B415" s="4"/>
      <c r="C415" s="4"/>
      <c r="D415" s="5"/>
      <c r="E415" s="6"/>
      <c r="F415" s="6"/>
      <c r="G415" s="6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13" x14ac:dyDescent="0.3">
      <c r="A416" s="4"/>
      <c r="B416" s="4"/>
      <c r="C416" s="4"/>
      <c r="D416" s="5"/>
      <c r="E416" s="6"/>
      <c r="F416" s="6"/>
      <c r="G416" s="6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13" x14ac:dyDescent="0.3">
      <c r="A417" s="4"/>
      <c r="B417" s="4"/>
      <c r="C417" s="4"/>
      <c r="D417" s="5"/>
      <c r="E417" s="6"/>
      <c r="F417" s="6"/>
      <c r="G417" s="6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13" x14ac:dyDescent="0.3">
      <c r="A418" s="4"/>
      <c r="B418" s="4"/>
      <c r="C418" s="4"/>
      <c r="D418" s="5"/>
      <c r="E418" s="6"/>
      <c r="F418" s="6"/>
      <c r="G418" s="6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13" x14ac:dyDescent="0.3">
      <c r="A419" s="4"/>
      <c r="B419" s="4"/>
      <c r="C419" s="4"/>
      <c r="D419" s="5"/>
      <c r="E419" s="6"/>
      <c r="F419" s="6"/>
      <c r="G419" s="6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13" x14ac:dyDescent="0.3">
      <c r="A420" s="4"/>
      <c r="B420" s="4"/>
      <c r="C420" s="4"/>
      <c r="D420" s="5"/>
      <c r="E420" s="6"/>
      <c r="F420" s="6"/>
      <c r="G420" s="6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13" x14ac:dyDescent="0.3">
      <c r="A421" s="4"/>
      <c r="B421" s="4"/>
      <c r="C421" s="4"/>
      <c r="D421" s="5"/>
      <c r="E421" s="6"/>
      <c r="F421" s="6"/>
      <c r="G421" s="6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13" x14ac:dyDescent="0.3">
      <c r="A422" s="4"/>
      <c r="B422" s="4"/>
      <c r="C422" s="4"/>
      <c r="D422" s="5"/>
      <c r="E422" s="6"/>
      <c r="F422" s="6"/>
      <c r="G422" s="6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13" x14ac:dyDescent="0.3">
      <c r="A423" s="4"/>
      <c r="B423" s="4"/>
      <c r="C423" s="4"/>
      <c r="D423" s="5"/>
      <c r="E423" s="6"/>
      <c r="F423" s="6"/>
      <c r="G423" s="6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13" x14ac:dyDescent="0.3">
      <c r="A424" s="4"/>
      <c r="B424" s="4"/>
      <c r="C424" s="4"/>
      <c r="D424" s="5"/>
      <c r="E424" s="6"/>
      <c r="F424" s="6"/>
      <c r="G424" s="6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13" x14ac:dyDescent="0.3">
      <c r="A425" s="4"/>
      <c r="B425" s="4"/>
      <c r="C425" s="4"/>
      <c r="D425" s="5"/>
      <c r="E425" s="6"/>
      <c r="F425" s="6"/>
      <c r="G425" s="6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13" x14ac:dyDescent="0.3">
      <c r="A426" s="4"/>
      <c r="B426" s="4"/>
      <c r="C426" s="4"/>
      <c r="D426" s="5"/>
      <c r="E426" s="6"/>
      <c r="F426" s="6"/>
      <c r="G426" s="6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13" x14ac:dyDescent="0.3">
      <c r="A427" s="4"/>
      <c r="B427" s="4"/>
      <c r="C427" s="4"/>
      <c r="D427" s="5"/>
      <c r="E427" s="6"/>
      <c r="F427" s="6"/>
      <c r="G427" s="6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13" x14ac:dyDescent="0.3">
      <c r="A428" s="4"/>
      <c r="B428" s="4"/>
      <c r="C428" s="4"/>
      <c r="D428" s="5"/>
      <c r="E428" s="6"/>
      <c r="F428" s="6"/>
      <c r="G428" s="6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13" x14ac:dyDescent="0.3">
      <c r="A429" s="4"/>
      <c r="B429" s="4"/>
      <c r="C429" s="4"/>
      <c r="D429" s="5"/>
      <c r="E429" s="6"/>
      <c r="F429" s="6"/>
      <c r="G429" s="6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13" x14ac:dyDescent="0.3">
      <c r="A430" s="4"/>
      <c r="B430" s="4"/>
      <c r="C430" s="4"/>
      <c r="D430" s="5"/>
      <c r="E430" s="6"/>
      <c r="F430" s="6"/>
      <c r="G430" s="6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13" x14ac:dyDescent="0.3">
      <c r="A431" s="4"/>
      <c r="B431" s="4"/>
      <c r="C431" s="4"/>
      <c r="D431" s="5"/>
      <c r="E431" s="6"/>
      <c r="F431" s="6"/>
      <c r="G431" s="6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13" x14ac:dyDescent="0.3">
      <c r="A432" s="4"/>
      <c r="B432" s="4"/>
      <c r="C432" s="4"/>
      <c r="D432" s="5"/>
      <c r="E432" s="6"/>
      <c r="F432" s="6"/>
      <c r="G432" s="6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13" x14ac:dyDescent="0.3">
      <c r="A433" s="4"/>
      <c r="B433" s="4"/>
      <c r="C433" s="4"/>
      <c r="D433" s="5"/>
      <c r="E433" s="6"/>
      <c r="F433" s="6"/>
      <c r="G433" s="6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13" x14ac:dyDescent="0.3">
      <c r="A434" s="4"/>
      <c r="B434" s="4"/>
      <c r="C434" s="4"/>
      <c r="D434" s="5"/>
      <c r="E434" s="6"/>
      <c r="F434" s="6"/>
      <c r="G434" s="6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13" x14ac:dyDescent="0.3">
      <c r="A435" s="4"/>
      <c r="B435" s="4"/>
      <c r="C435" s="4"/>
      <c r="D435" s="5"/>
      <c r="E435" s="6"/>
      <c r="F435" s="6"/>
      <c r="G435" s="6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13" x14ac:dyDescent="0.3">
      <c r="A436" s="4"/>
      <c r="B436" s="4"/>
      <c r="C436" s="4"/>
      <c r="D436" s="5"/>
      <c r="E436" s="6"/>
      <c r="F436" s="6"/>
      <c r="G436" s="6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13" x14ac:dyDescent="0.3">
      <c r="A437" s="4"/>
      <c r="B437" s="4"/>
      <c r="C437" s="4"/>
      <c r="D437" s="5"/>
      <c r="E437" s="6"/>
      <c r="F437" s="6"/>
      <c r="G437" s="6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13" x14ac:dyDescent="0.3">
      <c r="A438" s="4"/>
      <c r="B438" s="4"/>
      <c r="C438" s="4"/>
      <c r="D438" s="5"/>
      <c r="E438" s="6"/>
      <c r="F438" s="6"/>
      <c r="G438" s="6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13" x14ac:dyDescent="0.3">
      <c r="A439" s="4"/>
      <c r="B439" s="4"/>
      <c r="C439" s="4"/>
      <c r="D439" s="5"/>
      <c r="E439" s="6"/>
      <c r="F439" s="6"/>
      <c r="G439" s="6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13" x14ac:dyDescent="0.3">
      <c r="A440" s="4"/>
      <c r="B440" s="4"/>
      <c r="C440" s="4"/>
      <c r="D440" s="5"/>
      <c r="E440" s="6"/>
      <c r="F440" s="6"/>
      <c r="G440" s="6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13" x14ac:dyDescent="0.3">
      <c r="A441" s="4"/>
      <c r="B441" s="4"/>
      <c r="C441" s="4"/>
      <c r="D441" s="5"/>
      <c r="E441" s="6"/>
      <c r="F441" s="6"/>
      <c r="G441" s="6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13" x14ac:dyDescent="0.3">
      <c r="A442" s="4"/>
      <c r="B442" s="4"/>
      <c r="C442" s="4"/>
      <c r="D442" s="5"/>
      <c r="E442" s="6"/>
      <c r="F442" s="6"/>
      <c r="G442" s="6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13" x14ac:dyDescent="0.3">
      <c r="A443" s="4"/>
      <c r="B443" s="4"/>
      <c r="C443" s="4"/>
      <c r="D443" s="5"/>
      <c r="E443" s="6"/>
      <c r="F443" s="6"/>
      <c r="G443" s="6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13" x14ac:dyDescent="0.3">
      <c r="A444" s="4"/>
      <c r="B444" s="4"/>
      <c r="C444" s="4"/>
      <c r="D444" s="5"/>
      <c r="E444" s="6"/>
      <c r="F444" s="6"/>
      <c r="G444" s="6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13" x14ac:dyDescent="0.3">
      <c r="A445" s="4"/>
      <c r="B445" s="4"/>
      <c r="C445" s="4"/>
      <c r="D445" s="5"/>
      <c r="E445" s="6"/>
      <c r="F445" s="6"/>
      <c r="G445" s="6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13" x14ac:dyDescent="0.3">
      <c r="A446" s="4"/>
      <c r="B446" s="4"/>
      <c r="C446" s="4"/>
      <c r="D446" s="5"/>
      <c r="E446" s="6"/>
      <c r="F446" s="6"/>
      <c r="G446" s="6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13" x14ac:dyDescent="0.3">
      <c r="A447" s="4"/>
      <c r="B447" s="4"/>
      <c r="C447" s="4"/>
      <c r="D447" s="5"/>
      <c r="E447" s="6"/>
      <c r="F447" s="6"/>
      <c r="G447" s="6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13" x14ac:dyDescent="0.3">
      <c r="A448" s="4"/>
      <c r="B448" s="4"/>
      <c r="C448" s="4"/>
      <c r="D448" s="5"/>
      <c r="E448" s="6"/>
      <c r="F448" s="6"/>
      <c r="G448" s="6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13" x14ac:dyDescent="0.3">
      <c r="A449" s="4"/>
      <c r="B449" s="4"/>
      <c r="C449" s="4"/>
      <c r="D449" s="5"/>
      <c r="E449" s="6"/>
      <c r="F449" s="6"/>
      <c r="G449" s="6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13" x14ac:dyDescent="0.3">
      <c r="A450" s="4"/>
      <c r="B450" s="4"/>
      <c r="C450" s="4"/>
      <c r="D450" s="5"/>
      <c r="E450" s="6"/>
      <c r="F450" s="6"/>
      <c r="G450" s="6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13" x14ac:dyDescent="0.3">
      <c r="A451" s="4"/>
      <c r="B451" s="4"/>
      <c r="C451" s="4"/>
      <c r="D451" s="5"/>
      <c r="E451" s="6"/>
      <c r="F451" s="6"/>
      <c r="G451" s="6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13" x14ac:dyDescent="0.3">
      <c r="A452" s="4"/>
      <c r="B452" s="4"/>
      <c r="C452" s="4"/>
      <c r="D452" s="5"/>
      <c r="E452" s="6"/>
      <c r="F452" s="6"/>
      <c r="G452" s="6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13" x14ac:dyDescent="0.3">
      <c r="A453" s="4"/>
      <c r="B453" s="4"/>
      <c r="C453" s="4"/>
      <c r="D453" s="5"/>
      <c r="E453" s="6"/>
      <c r="F453" s="6"/>
      <c r="G453" s="6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13" x14ac:dyDescent="0.3">
      <c r="A454" s="4"/>
      <c r="B454" s="4"/>
      <c r="C454" s="4"/>
      <c r="D454" s="5"/>
      <c r="E454" s="6"/>
      <c r="F454" s="6"/>
      <c r="G454" s="6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13" x14ac:dyDescent="0.3">
      <c r="A455" s="4"/>
      <c r="B455" s="4"/>
      <c r="C455" s="4"/>
      <c r="D455" s="5"/>
      <c r="E455" s="6"/>
      <c r="F455" s="6"/>
      <c r="G455" s="6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13" x14ac:dyDescent="0.3">
      <c r="A456" s="4"/>
      <c r="B456" s="4"/>
      <c r="C456" s="4"/>
      <c r="D456" s="5"/>
      <c r="E456" s="6"/>
      <c r="F456" s="6"/>
      <c r="G456" s="6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13" x14ac:dyDescent="0.3">
      <c r="A457" s="4"/>
      <c r="B457" s="4"/>
      <c r="C457" s="4"/>
      <c r="D457" s="5"/>
      <c r="E457" s="6"/>
      <c r="F457" s="6"/>
      <c r="G457" s="6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13" x14ac:dyDescent="0.3">
      <c r="A458" s="4"/>
      <c r="B458" s="4"/>
      <c r="C458" s="4"/>
      <c r="D458" s="5"/>
      <c r="E458" s="6"/>
      <c r="F458" s="6"/>
      <c r="G458" s="6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13" x14ac:dyDescent="0.3">
      <c r="A459" s="4"/>
      <c r="B459" s="4"/>
      <c r="C459" s="4"/>
      <c r="D459" s="5"/>
      <c r="E459" s="6"/>
      <c r="F459" s="6"/>
      <c r="G459" s="6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13" x14ac:dyDescent="0.3">
      <c r="A460" s="4"/>
      <c r="B460" s="4"/>
      <c r="C460" s="4"/>
      <c r="D460" s="5"/>
      <c r="E460" s="6"/>
      <c r="F460" s="6"/>
      <c r="G460" s="6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13" x14ac:dyDescent="0.3">
      <c r="A461" s="4"/>
      <c r="B461" s="4"/>
      <c r="C461" s="4"/>
      <c r="D461" s="5"/>
      <c r="E461" s="6"/>
      <c r="F461" s="6"/>
      <c r="G461" s="6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13" x14ac:dyDescent="0.3">
      <c r="A462" s="4"/>
      <c r="B462" s="4"/>
      <c r="C462" s="4"/>
      <c r="D462" s="5"/>
      <c r="E462" s="6"/>
      <c r="F462" s="6"/>
      <c r="G462" s="6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13" x14ac:dyDescent="0.3">
      <c r="A463" s="4"/>
      <c r="B463" s="4"/>
      <c r="C463" s="4"/>
      <c r="D463" s="5"/>
      <c r="E463" s="6"/>
      <c r="F463" s="6"/>
      <c r="G463" s="6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13" x14ac:dyDescent="0.3">
      <c r="A464" s="4"/>
      <c r="B464" s="4"/>
      <c r="C464" s="4"/>
      <c r="D464" s="5"/>
      <c r="E464" s="6"/>
      <c r="F464" s="6"/>
      <c r="G464" s="6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13" x14ac:dyDescent="0.3">
      <c r="A465" s="4"/>
      <c r="B465" s="4"/>
      <c r="C465" s="4"/>
      <c r="D465" s="5"/>
      <c r="E465" s="6"/>
      <c r="F465" s="6"/>
      <c r="G465" s="6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13" x14ac:dyDescent="0.3">
      <c r="A466" s="4"/>
      <c r="B466" s="4"/>
      <c r="C466" s="4"/>
      <c r="D466" s="5"/>
      <c r="E466" s="6"/>
      <c r="F466" s="6"/>
      <c r="G466" s="6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13" x14ac:dyDescent="0.3">
      <c r="A467" s="4"/>
      <c r="B467" s="4"/>
      <c r="C467" s="4"/>
      <c r="D467" s="5"/>
      <c r="E467" s="6"/>
      <c r="F467" s="6"/>
      <c r="G467" s="6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13" x14ac:dyDescent="0.3">
      <c r="A468" s="4"/>
      <c r="B468" s="4"/>
      <c r="C468" s="4"/>
      <c r="D468" s="5"/>
      <c r="E468" s="6"/>
      <c r="F468" s="6"/>
      <c r="G468" s="6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13" x14ac:dyDescent="0.3">
      <c r="A469" s="4"/>
      <c r="B469" s="4"/>
      <c r="C469" s="4"/>
      <c r="D469" s="5"/>
      <c r="E469" s="6"/>
      <c r="F469" s="6"/>
      <c r="G469" s="6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13" x14ac:dyDescent="0.3">
      <c r="A470" s="4"/>
      <c r="B470" s="4"/>
      <c r="C470" s="4"/>
      <c r="D470" s="5"/>
      <c r="E470" s="6"/>
      <c r="F470" s="6"/>
      <c r="G470" s="6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13" x14ac:dyDescent="0.3">
      <c r="A471" s="4"/>
      <c r="B471" s="4"/>
      <c r="C471" s="4"/>
      <c r="D471" s="5"/>
      <c r="E471" s="6"/>
      <c r="F471" s="6"/>
      <c r="G471" s="6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13" x14ac:dyDescent="0.3">
      <c r="A472" s="4"/>
      <c r="B472" s="4"/>
      <c r="C472" s="4"/>
      <c r="D472" s="8"/>
      <c r="E472" s="6"/>
      <c r="F472" s="6"/>
      <c r="G472" s="6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13" x14ac:dyDescent="0.3">
      <c r="A473" s="4"/>
      <c r="B473" s="4"/>
      <c r="C473" s="4"/>
      <c r="D473" s="8"/>
      <c r="E473" s="6"/>
      <c r="F473" s="6"/>
      <c r="G473" s="6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13" x14ac:dyDescent="0.3">
      <c r="A474" s="4"/>
      <c r="B474" s="4"/>
      <c r="C474" s="4"/>
      <c r="D474" s="5"/>
      <c r="E474" s="6"/>
      <c r="F474" s="6"/>
      <c r="G474" s="6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13" x14ac:dyDescent="0.3">
      <c r="A475" s="4"/>
      <c r="B475" s="4"/>
      <c r="C475" s="4"/>
      <c r="D475" s="9"/>
      <c r="E475" s="6"/>
      <c r="F475" s="6"/>
      <c r="G475" s="6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13" x14ac:dyDescent="0.3">
      <c r="A476" s="4"/>
      <c r="B476" s="4"/>
      <c r="C476" s="4"/>
      <c r="D476" s="5"/>
      <c r="E476" s="6"/>
      <c r="F476" s="6"/>
      <c r="G476" s="6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13" x14ac:dyDescent="0.3">
      <c r="A477" s="4"/>
      <c r="B477" s="4"/>
      <c r="C477" s="4"/>
      <c r="D477" s="5"/>
      <c r="E477" s="6"/>
      <c r="F477" s="6"/>
      <c r="G477" s="6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13" x14ac:dyDescent="0.3">
      <c r="A478" s="4"/>
      <c r="B478" s="4"/>
      <c r="C478" s="4"/>
      <c r="D478" s="5"/>
      <c r="E478" s="6"/>
      <c r="F478" s="6"/>
      <c r="G478" s="6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13" x14ac:dyDescent="0.3">
      <c r="A479" s="4"/>
      <c r="B479" s="4"/>
      <c r="C479" s="4"/>
      <c r="D479" s="5"/>
      <c r="E479" s="6"/>
      <c r="F479" s="6"/>
      <c r="G479" s="6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13" x14ac:dyDescent="0.3">
      <c r="A480" s="4"/>
      <c r="B480" s="4"/>
      <c r="C480" s="4"/>
      <c r="D480" s="5"/>
      <c r="E480" s="6"/>
      <c r="F480" s="6"/>
      <c r="G480" s="6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13" x14ac:dyDescent="0.3">
      <c r="A481" s="4"/>
      <c r="B481" s="4"/>
      <c r="C481" s="4"/>
      <c r="D481" s="5"/>
      <c r="E481" s="6"/>
      <c r="F481" s="6"/>
      <c r="G481" s="6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13" x14ac:dyDescent="0.3">
      <c r="A482" s="4"/>
      <c r="B482" s="4"/>
      <c r="C482" s="4"/>
      <c r="D482" s="5"/>
      <c r="E482" s="6"/>
      <c r="F482" s="6"/>
      <c r="G482" s="6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13" x14ac:dyDescent="0.3">
      <c r="A483" s="4"/>
      <c r="B483" s="4"/>
      <c r="C483" s="4"/>
      <c r="D483" s="5"/>
      <c r="E483" s="6"/>
      <c r="F483" s="6"/>
      <c r="G483" s="6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13" x14ac:dyDescent="0.3">
      <c r="A484" s="4"/>
      <c r="B484" s="4"/>
      <c r="C484" s="4"/>
      <c r="D484" s="5"/>
      <c r="E484" s="6"/>
      <c r="F484" s="6"/>
      <c r="G484" s="6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13" x14ac:dyDescent="0.3">
      <c r="A485" s="4"/>
      <c r="B485" s="4"/>
      <c r="C485" s="4"/>
      <c r="D485" s="5"/>
      <c r="E485" s="6"/>
      <c r="F485" s="6"/>
      <c r="G485" s="6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13" x14ac:dyDescent="0.3">
      <c r="A486" s="4"/>
      <c r="B486" s="4"/>
      <c r="C486" s="4"/>
      <c r="D486" s="5"/>
      <c r="E486" s="6"/>
      <c r="F486" s="6"/>
      <c r="G486" s="6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13" x14ac:dyDescent="0.3">
      <c r="A487" s="4"/>
      <c r="B487" s="4"/>
      <c r="C487" s="4"/>
      <c r="D487" s="5"/>
      <c r="E487" s="6"/>
      <c r="F487" s="6"/>
      <c r="G487" s="6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13" x14ac:dyDescent="0.3">
      <c r="A488" s="4"/>
      <c r="B488" s="4"/>
      <c r="C488" s="4"/>
      <c r="D488" s="4"/>
      <c r="E488" s="6"/>
      <c r="F488" s="6"/>
      <c r="G488" s="6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13" x14ac:dyDescent="0.3">
      <c r="A489" s="4"/>
      <c r="B489" s="4"/>
      <c r="C489" s="4"/>
      <c r="D489" s="4"/>
      <c r="E489" s="6"/>
      <c r="F489" s="6"/>
      <c r="G489" s="6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13" x14ac:dyDescent="0.3">
      <c r="A490" s="4"/>
      <c r="B490" s="4"/>
      <c r="C490" s="4"/>
      <c r="D490" s="4"/>
      <c r="E490" s="6"/>
      <c r="F490" s="6"/>
      <c r="G490" s="6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13" x14ac:dyDescent="0.3">
      <c r="A491" s="4"/>
      <c r="B491" s="4"/>
      <c r="C491" s="4"/>
      <c r="D491" s="4"/>
      <c r="E491" s="6"/>
      <c r="F491" s="6"/>
      <c r="G491" s="6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13" x14ac:dyDescent="0.3">
      <c r="A492" s="4"/>
      <c r="B492" s="4"/>
      <c r="C492" s="4"/>
      <c r="D492" s="4"/>
      <c r="E492" s="6"/>
      <c r="F492" s="6"/>
      <c r="G492" s="6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13" x14ac:dyDescent="0.3">
      <c r="A493" s="4"/>
      <c r="B493" s="4"/>
      <c r="C493" s="4"/>
      <c r="D493" s="4"/>
      <c r="E493" s="6"/>
      <c r="F493" s="6"/>
      <c r="G493" s="6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13" x14ac:dyDescent="0.3">
      <c r="A494" s="4"/>
      <c r="B494" s="4"/>
      <c r="C494" s="4"/>
      <c r="D494" s="4"/>
      <c r="E494" s="6"/>
      <c r="F494" s="6"/>
      <c r="G494" s="6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13" x14ac:dyDescent="0.3">
      <c r="A495" s="4"/>
      <c r="B495" s="4"/>
      <c r="C495" s="4"/>
      <c r="D495" s="4"/>
      <c r="E495" s="6"/>
      <c r="F495" s="6"/>
      <c r="G495" s="6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13" x14ac:dyDescent="0.3">
      <c r="A496" s="4"/>
      <c r="B496" s="4"/>
      <c r="C496" s="4"/>
      <c r="D496" s="4"/>
      <c r="E496" s="6"/>
      <c r="F496" s="6"/>
      <c r="G496" s="6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13" x14ac:dyDescent="0.3">
      <c r="A497" s="4"/>
      <c r="B497" s="4"/>
      <c r="C497" s="4"/>
      <c r="D497" s="4"/>
      <c r="E497" s="6"/>
      <c r="F497" s="6"/>
      <c r="G497" s="6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13" x14ac:dyDescent="0.3">
      <c r="A498" s="4"/>
      <c r="B498" s="4"/>
      <c r="C498" s="4"/>
      <c r="D498" s="4"/>
      <c r="E498" s="6"/>
      <c r="F498" s="6"/>
      <c r="G498" s="6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13" x14ac:dyDescent="0.3">
      <c r="A499" s="4"/>
      <c r="B499" s="4"/>
      <c r="C499" s="4"/>
      <c r="D499" s="4"/>
      <c r="E499" s="6"/>
      <c r="F499" s="6"/>
      <c r="G499" s="6"/>
      <c r="H499" s="6"/>
      <c r="I499" s="6"/>
      <c r="J499" s="4"/>
      <c r="K499" s="4"/>
      <c r="L499" s="4"/>
      <c r="M499" s="4"/>
      <c r="N499" s="4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13" x14ac:dyDescent="0.3">
      <c r="A500" s="4"/>
      <c r="B500" s="4"/>
      <c r="C500" s="4"/>
      <c r="D500" s="4"/>
      <c r="E500" s="6"/>
      <c r="F500" s="6"/>
      <c r="G500" s="6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13" x14ac:dyDescent="0.3">
      <c r="A501" s="4"/>
      <c r="B501" s="4"/>
      <c r="C501" s="4"/>
      <c r="D501" s="4"/>
      <c r="E501" s="6"/>
      <c r="F501" s="6"/>
      <c r="G501" s="6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13" x14ac:dyDescent="0.3">
      <c r="A502" s="4"/>
      <c r="B502" s="4"/>
      <c r="C502" s="4"/>
      <c r="D502" s="4"/>
      <c r="E502" s="6"/>
      <c r="F502" s="6"/>
      <c r="G502" s="6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13" x14ac:dyDescent="0.3">
      <c r="A503" s="4"/>
      <c r="B503" s="4"/>
      <c r="C503" s="4"/>
      <c r="D503" s="4"/>
      <c r="E503" s="6"/>
      <c r="F503" s="6"/>
      <c r="G503" s="6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13" x14ac:dyDescent="0.3">
      <c r="A504" s="4"/>
      <c r="B504" s="4"/>
      <c r="C504" s="4"/>
      <c r="D504" s="4"/>
      <c r="E504" s="6"/>
      <c r="F504" s="6"/>
      <c r="G504" s="6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13" x14ac:dyDescent="0.3">
      <c r="A505" s="4"/>
      <c r="B505" s="4"/>
      <c r="C505" s="4"/>
      <c r="D505" s="4"/>
      <c r="E505" s="6"/>
      <c r="F505" s="6"/>
      <c r="G505" s="6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13" x14ac:dyDescent="0.3">
      <c r="A506" s="4"/>
      <c r="B506" s="4"/>
      <c r="C506" s="4"/>
      <c r="D506" s="4"/>
      <c r="E506" s="6"/>
      <c r="F506" s="6"/>
      <c r="G506" s="6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13" x14ac:dyDescent="0.3">
      <c r="A507" s="4"/>
      <c r="B507" s="4"/>
      <c r="C507" s="4"/>
      <c r="D507" s="4"/>
      <c r="E507" s="6"/>
      <c r="F507" s="6"/>
      <c r="G507" s="6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13" x14ac:dyDescent="0.3">
      <c r="A508" s="4"/>
      <c r="B508" s="4"/>
      <c r="C508" s="4"/>
      <c r="D508" s="4"/>
      <c r="E508" s="6"/>
      <c r="F508" s="6"/>
      <c r="G508" s="6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13" x14ac:dyDescent="0.3">
      <c r="A509" s="4"/>
      <c r="B509" s="4"/>
      <c r="C509" s="4"/>
      <c r="D509" s="4"/>
      <c r="E509" s="6"/>
      <c r="F509" s="6"/>
      <c r="G509" s="6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13" x14ac:dyDescent="0.3">
      <c r="A510" s="4"/>
      <c r="B510" s="4"/>
      <c r="C510" s="4"/>
      <c r="D510" s="4"/>
      <c r="E510" s="6"/>
      <c r="F510" s="6"/>
      <c r="G510" s="6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13" x14ac:dyDescent="0.3">
      <c r="A511" s="4"/>
      <c r="B511" s="4"/>
      <c r="C511" s="4"/>
      <c r="D511" s="4"/>
      <c r="E511" s="6"/>
      <c r="F511" s="6"/>
      <c r="G511" s="6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13" x14ac:dyDescent="0.3">
      <c r="A512" s="4"/>
      <c r="B512" s="4"/>
      <c r="C512" s="4"/>
      <c r="D512" s="4"/>
      <c r="E512" s="6"/>
      <c r="F512" s="6"/>
      <c r="G512" s="6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13" x14ac:dyDescent="0.3">
      <c r="A513" s="4"/>
      <c r="B513" s="4"/>
      <c r="C513" s="4"/>
      <c r="D513" s="4"/>
      <c r="E513" s="6"/>
      <c r="F513" s="6"/>
      <c r="G513" s="6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13" x14ac:dyDescent="0.3">
      <c r="A514" s="4"/>
      <c r="B514" s="4"/>
      <c r="C514" s="4"/>
      <c r="D514" s="4"/>
      <c r="E514" s="6"/>
      <c r="F514" s="6"/>
      <c r="G514" s="6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13" x14ac:dyDescent="0.3">
      <c r="A515" s="4"/>
      <c r="B515" s="4"/>
      <c r="C515" s="4"/>
      <c r="D515" s="4"/>
      <c r="E515" s="6"/>
      <c r="F515" s="6"/>
      <c r="G515" s="6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13" x14ac:dyDescent="0.3">
      <c r="A516" s="4"/>
      <c r="B516" s="4"/>
      <c r="C516" s="4"/>
      <c r="D516" s="4"/>
      <c r="E516" s="6"/>
      <c r="F516" s="6"/>
      <c r="G516" s="6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13" x14ac:dyDescent="0.3">
      <c r="A517" s="4"/>
      <c r="B517" s="4"/>
      <c r="C517" s="4"/>
      <c r="D517" s="5"/>
      <c r="E517" s="6"/>
      <c r="F517" s="6"/>
      <c r="G517" s="6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13" x14ac:dyDescent="0.3">
      <c r="A518" s="4"/>
      <c r="B518" s="4"/>
      <c r="C518" s="4"/>
      <c r="D518" s="4"/>
      <c r="E518" s="6"/>
      <c r="F518" s="6"/>
      <c r="G518" s="6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13" x14ac:dyDescent="0.3">
      <c r="A519" s="4"/>
      <c r="B519" s="4"/>
      <c r="C519" s="4"/>
      <c r="D519" s="4"/>
      <c r="E519" s="6"/>
      <c r="F519" s="6"/>
      <c r="G519" s="6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13" x14ac:dyDescent="0.3">
      <c r="A520" s="4"/>
      <c r="B520" s="4"/>
      <c r="C520" s="4"/>
      <c r="D520" s="4"/>
      <c r="E520" s="6"/>
      <c r="F520" s="6"/>
      <c r="G520" s="6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13" x14ac:dyDescent="0.3">
      <c r="A521" s="4"/>
      <c r="B521" s="4"/>
      <c r="C521" s="4"/>
      <c r="D521" s="4"/>
      <c r="E521" s="6"/>
      <c r="F521" s="6"/>
      <c r="G521" s="6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13" x14ac:dyDescent="0.3">
      <c r="A522" s="4"/>
      <c r="B522" s="4"/>
      <c r="C522" s="4"/>
      <c r="D522" s="4"/>
      <c r="E522" s="6"/>
      <c r="F522" s="6"/>
      <c r="G522" s="6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13" x14ac:dyDescent="0.3">
      <c r="A523" s="4"/>
      <c r="B523" s="4"/>
      <c r="C523" s="4"/>
      <c r="D523" s="4"/>
      <c r="E523" s="6"/>
      <c r="F523" s="6"/>
      <c r="G523" s="6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13" x14ac:dyDescent="0.3">
      <c r="A524" s="4"/>
      <c r="B524" s="4"/>
      <c r="C524" s="4"/>
      <c r="D524" s="4"/>
      <c r="E524" s="6"/>
      <c r="F524" s="6"/>
      <c r="G524" s="6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13" x14ac:dyDescent="0.3">
      <c r="A525" s="4"/>
      <c r="B525" s="4"/>
      <c r="C525" s="4"/>
      <c r="D525" s="4"/>
      <c r="E525" s="6"/>
      <c r="F525" s="6"/>
      <c r="G525" s="6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13" x14ac:dyDescent="0.3">
      <c r="A526" s="4"/>
      <c r="B526" s="4"/>
      <c r="C526" s="4"/>
      <c r="D526" s="4"/>
      <c r="E526" s="6"/>
      <c r="F526" s="6"/>
      <c r="G526" s="6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13" x14ac:dyDescent="0.3">
      <c r="A527" s="4"/>
      <c r="B527" s="4"/>
      <c r="C527" s="4"/>
      <c r="D527" s="4"/>
      <c r="E527" s="6"/>
      <c r="F527" s="6"/>
      <c r="G527" s="6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13" x14ac:dyDescent="0.3">
      <c r="A528" s="4"/>
      <c r="B528" s="4"/>
      <c r="C528" s="4"/>
      <c r="D528" s="4"/>
      <c r="E528" s="6"/>
      <c r="F528" s="6"/>
      <c r="G528" s="6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13" x14ac:dyDescent="0.3">
      <c r="A529" s="4"/>
      <c r="B529" s="4"/>
      <c r="C529" s="4"/>
      <c r="D529" s="5"/>
      <c r="E529" s="6"/>
      <c r="F529" s="6"/>
      <c r="G529" s="6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13" x14ac:dyDescent="0.3">
      <c r="A530" s="4"/>
      <c r="B530" s="4"/>
      <c r="C530" s="4"/>
      <c r="D530" s="4"/>
      <c r="E530" s="6"/>
      <c r="F530" s="6"/>
      <c r="G530" s="6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13" x14ac:dyDescent="0.3">
      <c r="A531" s="4"/>
      <c r="B531" s="4"/>
      <c r="C531" s="4"/>
      <c r="D531" s="4"/>
      <c r="E531" s="6"/>
      <c r="F531" s="6"/>
      <c r="G531" s="6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13" x14ac:dyDescent="0.3">
      <c r="A532" s="4"/>
      <c r="B532" s="4"/>
      <c r="C532" s="4"/>
      <c r="D532" s="4"/>
      <c r="E532" s="6"/>
      <c r="F532" s="6"/>
      <c r="G532" s="6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13" x14ac:dyDescent="0.3">
      <c r="A533" s="4"/>
      <c r="B533" s="4"/>
      <c r="C533" s="4"/>
      <c r="D533" s="4"/>
      <c r="E533" s="6"/>
      <c r="F533" s="6"/>
      <c r="G533" s="6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13" x14ac:dyDescent="0.3">
      <c r="A534" s="4"/>
      <c r="B534" s="4"/>
      <c r="C534" s="4"/>
      <c r="D534" s="4"/>
      <c r="E534" s="6"/>
      <c r="F534" s="6"/>
      <c r="G534" s="6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13" x14ac:dyDescent="0.3">
      <c r="A535" s="4"/>
      <c r="B535" s="4"/>
      <c r="C535" s="4"/>
      <c r="D535" s="4"/>
      <c r="E535" s="6"/>
      <c r="F535" s="6"/>
      <c r="G535" s="6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13" x14ac:dyDescent="0.3">
      <c r="A536" s="4"/>
      <c r="B536" s="4"/>
      <c r="C536" s="4"/>
      <c r="D536" s="4"/>
      <c r="E536" s="6"/>
      <c r="F536" s="6"/>
      <c r="G536" s="6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13" x14ac:dyDescent="0.3">
      <c r="A537" s="4"/>
      <c r="B537" s="4"/>
      <c r="C537" s="4"/>
      <c r="D537" s="4"/>
      <c r="E537" s="6"/>
      <c r="F537" s="6"/>
      <c r="G537" s="6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13" x14ac:dyDescent="0.3">
      <c r="A538" s="4"/>
      <c r="B538" s="4"/>
      <c r="C538" s="4"/>
      <c r="D538" s="4"/>
      <c r="E538" s="6"/>
      <c r="F538" s="6"/>
      <c r="G538" s="6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13" x14ac:dyDescent="0.3">
      <c r="A539" s="4"/>
      <c r="B539" s="4"/>
      <c r="C539" s="4"/>
      <c r="D539" s="8"/>
      <c r="E539" s="6"/>
      <c r="F539" s="6"/>
      <c r="G539" s="6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13" x14ac:dyDescent="0.3">
      <c r="A540" s="4"/>
      <c r="B540" s="4"/>
      <c r="C540" s="4"/>
      <c r="D540" s="8"/>
      <c r="E540" s="6"/>
      <c r="F540" s="6"/>
      <c r="G540" s="6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13" x14ac:dyDescent="0.3">
      <c r="A541" s="4"/>
      <c r="B541" s="4"/>
      <c r="C541" s="4"/>
      <c r="D541" s="8"/>
      <c r="E541" s="6"/>
      <c r="F541" s="6"/>
      <c r="G541" s="6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13" x14ac:dyDescent="0.3">
      <c r="A542" s="4"/>
      <c r="B542" s="4"/>
      <c r="C542" s="4"/>
      <c r="D542" s="8"/>
      <c r="E542" s="6"/>
      <c r="F542" s="6"/>
      <c r="G542" s="6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13" x14ac:dyDescent="0.3">
      <c r="A543" s="4"/>
      <c r="B543" s="4"/>
      <c r="C543" s="4"/>
      <c r="D543" s="8"/>
      <c r="E543" s="6"/>
      <c r="F543" s="6"/>
      <c r="G543" s="6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13" x14ac:dyDescent="0.3">
      <c r="A544" s="4"/>
      <c r="B544" s="4"/>
      <c r="C544" s="4"/>
      <c r="D544" s="8"/>
      <c r="E544" s="6"/>
      <c r="F544" s="6"/>
      <c r="G544" s="6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13" x14ac:dyDescent="0.3">
      <c r="A545" s="4"/>
      <c r="B545" s="4"/>
      <c r="C545" s="4"/>
      <c r="D545" s="8"/>
      <c r="E545" s="6"/>
      <c r="F545" s="6"/>
      <c r="G545" s="6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13" x14ac:dyDescent="0.3">
      <c r="A546" s="4"/>
      <c r="B546" s="4"/>
      <c r="C546" s="4"/>
      <c r="D546" s="8"/>
      <c r="E546" s="6"/>
      <c r="F546" s="6"/>
      <c r="G546" s="6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13" x14ac:dyDescent="0.3">
      <c r="A547" s="4"/>
      <c r="B547" s="4"/>
      <c r="C547" s="4"/>
      <c r="D547" s="8"/>
      <c r="E547" s="6"/>
      <c r="F547" s="6"/>
      <c r="G547" s="6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13" x14ac:dyDescent="0.3">
      <c r="A548" s="4"/>
      <c r="B548" s="4"/>
      <c r="C548" s="4"/>
      <c r="D548" s="8"/>
      <c r="E548" s="6"/>
      <c r="F548" s="6"/>
      <c r="G548" s="6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13" x14ac:dyDescent="0.3">
      <c r="A549" s="4"/>
      <c r="B549" s="4"/>
      <c r="C549" s="4"/>
      <c r="D549" s="8"/>
      <c r="E549" s="6"/>
      <c r="F549" s="6"/>
      <c r="G549" s="6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13" x14ac:dyDescent="0.3">
      <c r="A550" s="4"/>
      <c r="B550" s="4"/>
      <c r="C550" s="4"/>
      <c r="D550" s="8"/>
      <c r="E550" s="6"/>
      <c r="F550" s="6"/>
      <c r="G550" s="6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13" x14ac:dyDescent="0.3">
      <c r="A551" s="4"/>
      <c r="B551" s="4"/>
      <c r="C551" s="4"/>
      <c r="D551" s="8"/>
      <c r="E551" s="6"/>
      <c r="F551" s="6"/>
      <c r="G551" s="6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13" x14ac:dyDescent="0.3">
      <c r="A552" s="4"/>
      <c r="B552" s="4"/>
      <c r="C552" s="4"/>
      <c r="D552" s="8"/>
      <c r="E552" s="6"/>
      <c r="F552" s="6"/>
      <c r="G552" s="6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13" x14ac:dyDescent="0.3">
      <c r="A553" s="4"/>
      <c r="B553" s="4"/>
      <c r="C553" s="4"/>
      <c r="D553" s="8"/>
      <c r="E553" s="6"/>
      <c r="F553" s="6"/>
      <c r="G553" s="6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13" x14ac:dyDescent="0.3">
      <c r="A554" s="4"/>
      <c r="B554" s="4"/>
      <c r="C554" s="4"/>
      <c r="D554" s="8"/>
      <c r="E554" s="6"/>
      <c r="F554" s="6"/>
      <c r="G554" s="6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13" x14ac:dyDescent="0.3">
      <c r="A555" s="4"/>
      <c r="B555" s="4"/>
      <c r="C555" s="4"/>
      <c r="D555" s="8"/>
      <c r="E555" s="6"/>
      <c r="F555" s="6"/>
      <c r="G555" s="6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13" x14ac:dyDescent="0.3">
      <c r="A556" s="4"/>
      <c r="B556" s="4"/>
      <c r="C556" s="4"/>
      <c r="D556" s="8"/>
      <c r="E556" s="6"/>
      <c r="F556" s="6"/>
      <c r="G556" s="6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13" x14ac:dyDescent="0.3">
      <c r="A557" s="4"/>
      <c r="B557" s="4"/>
      <c r="C557" s="4"/>
      <c r="D557" s="8"/>
      <c r="E557" s="6"/>
      <c r="F557" s="6"/>
      <c r="G557" s="6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13" x14ac:dyDescent="0.3">
      <c r="A558" s="4"/>
      <c r="B558" s="4"/>
      <c r="C558" s="4"/>
      <c r="D558" s="8"/>
      <c r="E558" s="6"/>
      <c r="F558" s="6"/>
      <c r="G558" s="6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13" x14ac:dyDescent="0.3">
      <c r="A559" s="4"/>
      <c r="B559" s="4"/>
      <c r="C559" s="4"/>
      <c r="D559" s="8"/>
      <c r="E559" s="6"/>
      <c r="F559" s="6"/>
      <c r="G559" s="6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13" x14ac:dyDescent="0.3">
      <c r="A560" s="4"/>
      <c r="B560" s="4"/>
      <c r="C560" s="4"/>
      <c r="D560" s="8"/>
      <c r="E560" s="6"/>
      <c r="F560" s="6"/>
      <c r="G560" s="6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13" x14ac:dyDescent="0.3">
      <c r="A561" s="4"/>
      <c r="B561" s="4"/>
      <c r="C561" s="4"/>
      <c r="D561" s="8"/>
      <c r="E561" s="6"/>
      <c r="F561" s="6"/>
      <c r="G561" s="6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13" x14ac:dyDescent="0.3">
      <c r="A562" s="4"/>
      <c r="B562" s="4"/>
      <c r="C562" s="4"/>
      <c r="D562" s="8"/>
      <c r="E562" s="6"/>
      <c r="F562" s="6"/>
      <c r="G562" s="6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13" x14ac:dyDescent="0.3">
      <c r="A563" s="4"/>
      <c r="B563" s="4"/>
      <c r="C563" s="4"/>
      <c r="D563" s="8"/>
      <c r="E563" s="6"/>
      <c r="F563" s="6"/>
      <c r="G563" s="6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13" x14ac:dyDescent="0.3">
      <c r="A564" s="4"/>
      <c r="B564" s="4"/>
      <c r="C564" s="4"/>
      <c r="D564" s="11"/>
      <c r="E564" s="6"/>
      <c r="F564" s="6"/>
      <c r="G564" s="6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13" x14ac:dyDescent="0.3">
      <c r="A565" s="4"/>
      <c r="B565" s="4"/>
      <c r="C565" s="4"/>
      <c r="D565" s="11"/>
      <c r="E565" s="6"/>
      <c r="F565" s="6"/>
      <c r="G565" s="6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13" x14ac:dyDescent="0.3">
      <c r="A566" s="4"/>
      <c r="B566" s="4"/>
      <c r="C566" s="4"/>
      <c r="D566" s="11"/>
      <c r="E566" s="6"/>
      <c r="F566" s="6"/>
      <c r="G566" s="6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13" x14ac:dyDescent="0.3">
      <c r="A567" s="4"/>
      <c r="B567" s="4"/>
      <c r="C567" s="4"/>
      <c r="D567" s="11"/>
      <c r="E567" s="6"/>
      <c r="F567" s="6"/>
      <c r="G567" s="6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13" x14ac:dyDescent="0.3">
      <c r="A568" s="4"/>
      <c r="B568" s="4"/>
      <c r="C568" s="4"/>
      <c r="D568" s="11"/>
      <c r="E568" s="13"/>
      <c r="F568" s="6"/>
      <c r="G568" s="6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13" x14ac:dyDescent="0.3">
      <c r="A569" s="4"/>
      <c r="B569" s="4"/>
      <c r="C569" s="4"/>
      <c r="D569" s="11"/>
      <c r="E569" s="13"/>
      <c r="F569" s="6"/>
      <c r="G569" s="6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13" x14ac:dyDescent="0.3">
      <c r="A570" s="4"/>
      <c r="B570" s="4"/>
      <c r="C570" s="4"/>
      <c r="D570" s="11"/>
      <c r="E570" s="13"/>
      <c r="F570" s="6"/>
      <c r="G570" s="6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13" x14ac:dyDescent="0.3">
      <c r="A571" s="4"/>
      <c r="B571" s="4"/>
      <c r="C571" s="4"/>
      <c r="D571" s="11"/>
      <c r="E571" s="6"/>
      <c r="F571" s="6"/>
      <c r="G571" s="6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13" x14ac:dyDescent="0.3">
      <c r="A572" s="4"/>
      <c r="B572" s="4"/>
      <c r="C572" s="4"/>
      <c r="D572" s="11"/>
      <c r="E572" s="6"/>
      <c r="F572" s="6"/>
      <c r="G572" s="6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13" x14ac:dyDescent="0.3">
      <c r="A573" s="4"/>
      <c r="B573" s="4"/>
      <c r="C573" s="4"/>
      <c r="D573" s="11"/>
      <c r="E573" s="13"/>
      <c r="F573" s="6"/>
      <c r="G573" s="6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13" x14ac:dyDescent="0.3">
      <c r="A574" s="4"/>
      <c r="B574" s="4"/>
      <c r="C574" s="4"/>
      <c r="D574" s="11"/>
      <c r="E574" s="13"/>
      <c r="F574" s="6"/>
      <c r="G574" s="6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13" x14ac:dyDescent="0.3">
      <c r="A575" s="4"/>
      <c r="B575" s="4"/>
      <c r="C575" s="4"/>
      <c r="D575" s="11"/>
      <c r="E575" s="13"/>
      <c r="F575" s="6"/>
      <c r="G575" s="6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13" x14ac:dyDescent="0.3">
      <c r="A576" s="4"/>
      <c r="B576" s="4"/>
      <c r="C576" s="4"/>
      <c r="D576" s="11"/>
      <c r="E576" s="6"/>
      <c r="F576" s="6"/>
      <c r="G576" s="6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13" x14ac:dyDescent="0.3">
      <c r="A577" s="4"/>
      <c r="B577" s="4"/>
      <c r="C577" s="4"/>
      <c r="D577" s="11"/>
      <c r="E577" s="13"/>
      <c r="F577" s="6"/>
      <c r="G577" s="6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13" x14ac:dyDescent="0.3">
      <c r="A578" s="4"/>
      <c r="B578" s="4"/>
      <c r="C578" s="4"/>
      <c r="D578" s="11"/>
      <c r="E578" s="13"/>
      <c r="F578" s="6"/>
      <c r="G578" s="6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13" x14ac:dyDescent="0.3">
      <c r="A579" s="4"/>
      <c r="B579" s="4"/>
      <c r="C579" s="4"/>
      <c r="D579" s="11"/>
      <c r="E579" s="13"/>
      <c r="F579" s="6"/>
      <c r="G579" s="6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13" x14ac:dyDescent="0.3">
      <c r="A580" s="4"/>
      <c r="B580" s="4"/>
      <c r="C580" s="4"/>
      <c r="D580" s="11"/>
      <c r="E580" s="13"/>
      <c r="F580" s="6"/>
      <c r="G580" s="6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13" x14ac:dyDescent="0.3">
      <c r="A581" s="4"/>
      <c r="B581" s="4"/>
      <c r="C581" s="4"/>
      <c r="D581" s="11"/>
      <c r="E581" s="13"/>
      <c r="F581" s="6"/>
      <c r="G581" s="6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13" x14ac:dyDescent="0.3">
      <c r="A582" s="4"/>
      <c r="B582" s="4"/>
      <c r="C582" s="4"/>
      <c r="D582" s="11"/>
      <c r="E582" s="13"/>
      <c r="F582" s="6"/>
      <c r="G582" s="6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13" x14ac:dyDescent="0.3">
      <c r="A583" s="4"/>
      <c r="B583" s="4"/>
      <c r="C583" s="4"/>
      <c r="D583" s="11"/>
      <c r="E583" s="13"/>
      <c r="F583" s="6"/>
      <c r="G583" s="6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13" x14ac:dyDescent="0.3">
      <c r="A584" s="4"/>
      <c r="B584" s="4"/>
      <c r="C584" s="4"/>
      <c r="D584" s="11"/>
      <c r="E584" s="6"/>
      <c r="F584" s="6"/>
      <c r="G584" s="6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13" x14ac:dyDescent="0.3">
      <c r="A585" s="4"/>
      <c r="B585" s="4"/>
      <c r="C585" s="4"/>
      <c r="D585" s="11"/>
      <c r="E585" s="13"/>
      <c r="F585" s="6"/>
      <c r="G585" s="6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13" x14ac:dyDescent="0.3">
      <c r="A586" s="4"/>
      <c r="B586" s="4"/>
      <c r="C586" s="4"/>
      <c r="D586" s="11"/>
      <c r="E586" s="13"/>
      <c r="F586" s="6"/>
      <c r="G586" s="6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13" x14ac:dyDescent="0.3">
      <c r="A587" s="4"/>
      <c r="B587" s="4"/>
      <c r="C587" s="4"/>
      <c r="D587" s="11"/>
      <c r="E587" s="13"/>
      <c r="F587" s="6"/>
      <c r="G587" s="6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13" x14ac:dyDescent="0.3">
      <c r="A588" s="4"/>
      <c r="B588" s="4"/>
      <c r="C588" s="4"/>
      <c r="D588" s="11"/>
      <c r="E588" s="13"/>
      <c r="F588" s="6"/>
      <c r="G588" s="6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13" x14ac:dyDescent="0.3">
      <c r="A589" s="4"/>
      <c r="B589" s="4"/>
      <c r="C589" s="4"/>
      <c r="D589" s="11"/>
      <c r="E589" s="13"/>
      <c r="F589" s="6"/>
      <c r="G589" s="6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13" x14ac:dyDescent="0.3">
      <c r="A590" s="4"/>
      <c r="B590" s="4"/>
      <c r="C590" s="4"/>
      <c r="D590" s="11"/>
      <c r="E590" s="13"/>
      <c r="F590" s="6"/>
      <c r="G590" s="6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13" x14ac:dyDescent="0.3">
      <c r="A591" s="4"/>
      <c r="B591" s="4"/>
      <c r="C591" s="4"/>
      <c r="D591" s="11"/>
      <c r="E591" s="6"/>
      <c r="F591" s="6"/>
      <c r="G591" s="6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13" x14ac:dyDescent="0.3">
      <c r="A592" s="4"/>
      <c r="B592" s="4"/>
      <c r="C592" s="4"/>
      <c r="D592" s="5"/>
      <c r="E592" s="6"/>
      <c r="F592" s="6"/>
      <c r="G592" s="6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13" x14ac:dyDescent="0.3">
      <c r="A593" s="4"/>
      <c r="B593" s="4"/>
      <c r="C593" s="4"/>
      <c r="D593" s="5"/>
      <c r="E593" s="6"/>
      <c r="F593" s="6"/>
      <c r="G593" s="6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13" x14ac:dyDescent="0.3">
      <c r="A594" s="4"/>
      <c r="B594" s="4"/>
      <c r="C594" s="4"/>
      <c r="D594" s="5"/>
      <c r="E594" s="6"/>
      <c r="F594" s="6"/>
      <c r="G594" s="6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13" x14ac:dyDescent="0.3">
      <c r="A595" s="4"/>
      <c r="B595" s="4"/>
      <c r="C595" s="4"/>
      <c r="D595" s="5"/>
      <c r="E595" s="6"/>
      <c r="F595" s="6"/>
      <c r="G595" s="6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13" x14ac:dyDescent="0.3">
      <c r="A596" s="4"/>
      <c r="B596" s="4"/>
      <c r="C596" s="4"/>
      <c r="D596" s="5"/>
      <c r="E596" s="6"/>
      <c r="F596" s="6"/>
      <c r="G596" s="6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13" x14ac:dyDescent="0.3">
      <c r="A597" s="4"/>
      <c r="B597" s="4"/>
      <c r="C597" s="4"/>
      <c r="D597" s="5"/>
      <c r="E597" s="6"/>
      <c r="F597" s="6"/>
      <c r="G597" s="6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13" x14ac:dyDescent="0.3">
      <c r="A598" s="4"/>
      <c r="B598" s="4"/>
      <c r="C598" s="4"/>
      <c r="D598" s="5"/>
      <c r="E598" s="6"/>
      <c r="F598" s="6"/>
      <c r="G598" s="6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13" x14ac:dyDescent="0.3">
      <c r="A599" s="4"/>
      <c r="B599" s="4"/>
      <c r="C599" s="4"/>
      <c r="D599" s="5"/>
      <c r="E599" s="6"/>
      <c r="F599" s="6"/>
      <c r="G599" s="6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13" x14ac:dyDescent="0.3">
      <c r="A600" s="4"/>
      <c r="B600" s="4"/>
      <c r="C600" s="4"/>
      <c r="D600" s="5"/>
      <c r="E600" s="6"/>
      <c r="F600" s="6"/>
      <c r="G600" s="6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13" x14ac:dyDescent="0.3">
      <c r="A601" s="4"/>
      <c r="B601" s="4"/>
      <c r="C601" s="4"/>
      <c r="D601" s="5"/>
      <c r="E601" s="6"/>
      <c r="F601" s="6"/>
      <c r="G601" s="6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13" x14ac:dyDescent="0.3">
      <c r="A602" s="4"/>
      <c r="B602" s="4"/>
      <c r="C602" s="4"/>
      <c r="D602" s="5"/>
      <c r="E602" s="6"/>
      <c r="F602" s="6"/>
      <c r="G602" s="6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13" x14ac:dyDescent="0.3">
      <c r="A603" s="4"/>
      <c r="B603" s="4"/>
      <c r="C603" s="4"/>
      <c r="D603" s="5"/>
      <c r="E603" s="6"/>
      <c r="F603" s="6"/>
      <c r="G603" s="6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13" x14ac:dyDescent="0.3">
      <c r="A604" s="4"/>
      <c r="B604" s="4"/>
      <c r="C604" s="4"/>
      <c r="D604" s="5"/>
      <c r="E604" s="6"/>
      <c r="F604" s="6"/>
      <c r="G604" s="6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13" x14ac:dyDescent="0.3">
      <c r="A605" s="4"/>
      <c r="B605" s="4"/>
      <c r="C605" s="4"/>
      <c r="D605" s="5"/>
      <c r="E605" s="6"/>
      <c r="F605" s="6"/>
      <c r="G605" s="6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13" x14ac:dyDescent="0.3">
      <c r="A606" s="4"/>
      <c r="B606" s="4"/>
      <c r="C606" s="4"/>
      <c r="D606" s="5"/>
      <c r="E606" s="6"/>
      <c r="F606" s="6"/>
      <c r="G606" s="6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13" x14ac:dyDescent="0.3">
      <c r="A607" s="4"/>
      <c r="B607" s="4"/>
      <c r="C607" s="4"/>
      <c r="D607" s="5"/>
      <c r="E607" s="6"/>
      <c r="F607" s="6"/>
      <c r="G607" s="6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13" x14ac:dyDescent="0.3">
      <c r="A608" s="4"/>
      <c r="B608" s="4"/>
      <c r="C608" s="4"/>
      <c r="D608" s="5"/>
      <c r="E608" s="6"/>
      <c r="F608" s="6"/>
      <c r="G608" s="6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13" x14ac:dyDescent="0.3">
      <c r="A609" s="4"/>
      <c r="B609" s="4"/>
      <c r="C609" s="4"/>
      <c r="D609" s="5"/>
      <c r="E609" s="6"/>
      <c r="F609" s="6"/>
      <c r="G609" s="6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13" x14ac:dyDescent="0.3">
      <c r="A610" s="4"/>
      <c r="B610" s="4"/>
      <c r="C610" s="4"/>
      <c r="D610" s="5"/>
      <c r="E610" s="6"/>
      <c r="F610" s="6"/>
      <c r="G610" s="6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</sheetData>
  <sortState xmlns:xlrd2="http://schemas.microsoft.com/office/spreadsheetml/2017/richdata2" ref="A232:A239">
    <sortCondition ref="A231"/>
  </sortState>
  <mergeCells count="4">
    <mergeCell ref="A208:B208"/>
    <mergeCell ref="D208:E208"/>
    <mergeCell ref="A262:F263"/>
    <mergeCell ref="H262:M26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4124-B236-48E0-BDA5-D026806F9304}">
  <sheetPr>
    <tabColor theme="1"/>
  </sheetPr>
  <dimension ref="A2:J21"/>
  <sheetViews>
    <sheetView zoomScale="88" zoomScaleNormal="88" workbookViewId="0">
      <selection activeCell="G14" sqref="G14"/>
    </sheetView>
  </sheetViews>
  <sheetFormatPr baseColWidth="10" defaultRowHeight="13" x14ac:dyDescent="0.3"/>
  <cols>
    <col min="2" max="2" width="16.09765625" customWidth="1"/>
    <col min="3" max="3" width="17" customWidth="1"/>
    <col min="4" max="4" width="20.3984375" customWidth="1"/>
    <col min="5" max="5" width="14.296875" customWidth="1"/>
    <col min="6" max="6" width="13.796875" customWidth="1"/>
    <col min="7" max="7" width="15.19921875" customWidth="1"/>
    <col min="8" max="8" width="11.8984375" bestFit="1" customWidth="1"/>
  </cols>
  <sheetData>
    <row r="2" spans="1:10" ht="13" customHeight="1" x14ac:dyDescent="0.3">
      <c r="A2" s="64" t="s">
        <v>632</v>
      </c>
      <c r="B2" s="59"/>
      <c r="G2" s="37"/>
      <c r="H2" s="38"/>
      <c r="I2" s="38"/>
      <c r="J2" s="38"/>
    </row>
    <row r="3" spans="1:10" x14ac:dyDescent="0.3">
      <c r="A3" s="30" t="s">
        <v>633</v>
      </c>
      <c r="B3">
        <v>57.771007474981495</v>
      </c>
      <c r="G3" s="38"/>
      <c r="H3" s="38"/>
      <c r="I3" s="38"/>
      <c r="J3" s="38"/>
    </row>
    <row r="4" spans="1:10" x14ac:dyDescent="0.3">
      <c r="A4" s="30" t="s">
        <v>634</v>
      </c>
      <c r="B4">
        <v>0.14236103806288974</v>
      </c>
      <c r="G4" s="38"/>
      <c r="H4" s="38"/>
      <c r="I4" s="38"/>
      <c r="J4" s="38"/>
    </row>
    <row r="5" spans="1:10" x14ac:dyDescent="0.3">
      <c r="A5" s="30" t="s">
        <v>635</v>
      </c>
      <c r="B5" s="34">
        <f>-G21</f>
        <v>-33.519857864070822</v>
      </c>
      <c r="C5" s="30" t="s">
        <v>652</v>
      </c>
      <c r="D5">
        <f>H21</f>
        <v>8.2855397768428121E-3</v>
      </c>
      <c r="G5" s="38"/>
      <c r="H5" s="38"/>
      <c r="I5" s="38"/>
      <c r="J5" s="38"/>
    </row>
    <row r="6" spans="1:10" x14ac:dyDescent="0.3">
      <c r="A6" s="30" t="s">
        <v>661</v>
      </c>
      <c r="B6">
        <f>(B5*2)+(B7*2)</f>
        <v>-63.039715728141644</v>
      </c>
    </row>
    <row r="7" spans="1:10" x14ac:dyDescent="0.3">
      <c r="A7" s="30" t="s">
        <v>662</v>
      </c>
      <c r="B7">
        <v>2</v>
      </c>
    </row>
    <row r="8" spans="1:10" x14ac:dyDescent="0.3">
      <c r="E8" t="s">
        <v>644</v>
      </c>
    </row>
    <row r="9" spans="1:10" x14ac:dyDescent="0.3">
      <c r="H9" t="s">
        <v>669</v>
      </c>
    </row>
    <row r="10" spans="1:10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55" t="s">
        <v>639</v>
      </c>
      <c r="G10" s="55" t="s">
        <v>640</v>
      </c>
      <c r="H10" s="55" t="s">
        <v>641</v>
      </c>
    </row>
    <row r="11" spans="1:10" x14ac:dyDescent="0.3">
      <c r="A11" s="16">
        <v>21.83</v>
      </c>
      <c r="B11">
        <v>3</v>
      </c>
      <c r="C11">
        <v>0</v>
      </c>
      <c r="D11" s="31">
        <f>C11/B11</f>
        <v>0</v>
      </c>
      <c r="E11" s="34">
        <f>EXP(-EXP(-$B$4*(A11-$B$3)))</f>
        <v>3.7488940662098763E-73</v>
      </c>
      <c r="F11" s="15">
        <f>FACT($B11)/(FACT($B11-$C11)*FACT($C11))</f>
        <v>1</v>
      </c>
      <c r="G11" s="56">
        <f>($C11*LN(E11/(1-E11))+($B11*LN(1-E11))+LN(F11))</f>
        <v>0</v>
      </c>
      <c r="H11" s="15">
        <f>POWER((D11-E11),2)</f>
        <v>1.405420671966362E-145</v>
      </c>
    </row>
    <row r="12" spans="1:10" x14ac:dyDescent="0.3">
      <c r="A12" s="16">
        <v>28.459999999999997</v>
      </c>
      <c r="B12">
        <v>1</v>
      </c>
      <c r="C12">
        <v>0</v>
      </c>
      <c r="D12" s="31">
        <f t="shared" ref="D12:D20" si="0">C12/B12</f>
        <v>0</v>
      </c>
      <c r="E12" s="34">
        <f t="shared" ref="E12:E20" si="1">EXP(-EXP(-$B$4*(A12-$B$3)))</f>
        <v>6.5639882257153136E-29</v>
      </c>
      <c r="F12" s="15">
        <f t="shared" ref="F12:F20" si="2">FACT($B12)/(FACT($B12-$C12)*FACT($C12))</f>
        <v>1</v>
      </c>
      <c r="G12" s="56">
        <f t="shared" ref="G12:G19" si="3">($C12*LN(E12/(1-E12))+($B12*LN(1-E12))+LN(F12))</f>
        <v>0</v>
      </c>
      <c r="H12" s="15">
        <f t="shared" ref="H12:H20" si="4">POWER((D12-E12),2)</f>
        <v>4.3085941427329269E-57</v>
      </c>
    </row>
    <row r="13" spans="1:10" x14ac:dyDescent="0.3">
      <c r="A13" s="16">
        <v>35.089999999999996</v>
      </c>
      <c r="B13">
        <v>1</v>
      </c>
      <c r="C13">
        <v>0</v>
      </c>
      <c r="D13" s="31">
        <f t="shared" si="0"/>
        <v>0</v>
      </c>
      <c r="E13" s="34">
        <f t="shared" si="1"/>
        <v>1.0798036803631056E-11</v>
      </c>
      <c r="F13" s="15">
        <f t="shared" si="2"/>
        <v>1</v>
      </c>
      <c r="G13" s="56">
        <f t="shared" si="3"/>
        <v>-1.0798029137562571E-11</v>
      </c>
      <c r="H13" s="15">
        <f t="shared" si="4"/>
        <v>1.1659759881257081E-22</v>
      </c>
    </row>
    <row r="14" spans="1:10" x14ac:dyDescent="0.3">
      <c r="A14" s="16">
        <v>41.72</v>
      </c>
      <c r="B14">
        <v>4</v>
      </c>
      <c r="C14">
        <v>0</v>
      </c>
      <c r="D14" s="31">
        <f t="shared" si="0"/>
        <v>0</v>
      </c>
      <c r="E14" s="34">
        <f t="shared" si="1"/>
        <v>5.4025173011160037E-5</v>
      </c>
      <c r="F14" s="15">
        <f t="shared" si="2"/>
        <v>1</v>
      </c>
      <c r="G14" s="56">
        <f t="shared" si="3"/>
        <v>-2.1610652969336616E-4</v>
      </c>
      <c r="H14" s="15">
        <f t="shared" si="4"/>
        <v>2.9187193188857748E-9</v>
      </c>
    </row>
    <row r="15" spans="1:10" x14ac:dyDescent="0.3">
      <c r="A15" s="16">
        <v>48.35</v>
      </c>
      <c r="B15">
        <v>25</v>
      </c>
      <c r="C15">
        <v>1</v>
      </c>
      <c r="D15" s="31">
        <f t="shared" si="0"/>
        <v>0.04</v>
      </c>
      <c r="E15" s="34">
        <f t="shared" si="1"/>
        <v>2.1849669694252165E-2</v>
      </c>
      <c r="F15" s="15">
        <f t="shared" si="2"/>
        <v>24.999999999999996</v>
      </c>
      <c r="G15" s="56">
        <f t="shared" si="3"/>
        <v>-1.1348994606319036</v>
      </c>
      <c r="H15" s="15">
        <f t="shared" si="4"/>
        <v>3.2943449020774834E-4</v>
      </c>
    </row>
    <row r="16" spans="1:10" x14ac:dyDescent="0.3">
      <c r="A16" s="16">
        <v>54.980000000000004</v>
      </c>
      <c r="B16">
        <v>39</v>
      </c>
      <c r="C16">
        <v>9</v>
      </c>
      <c r="D16" s="31">
        <f t="shared" si="0"/>
        <v>0.23076923076923078</v>
      </c>
      <c r="E16" s="34">
        <f t="shared" si="1"/>
        <v>0.22585819965004181</v>
      </c>
      <c r="F16" s="15">
        <f t="shared" si="2"/>
        <v>211915132</v>
      </c>
      <c r="G16" s="56">
        <f t="shared" si="3"/>
        <v>-1.8989413021008588</v>
      </c>
      <c r="H16" s="15">
        <f t="shared" si="4"/>
        <v>2.4118226653642512E-5</v>
      </c>
    </row>
    <row r="17" spans="1:8" x14ac:dyDescent="0.3">
      <c r="A17" s="16">
        <v>61.610000000000007</v>
      </c>
      <c r="B17">
        <v>54</v>
      </c>
      <c r="C17">
        <v>26</v>
      </c>
      <c r="D17" s="31">
        <f t="shared" si="0"/>
        <v>0.48148148148148145</v>
      </c>
      <c r="E17" s="34">
        <f t="shared" si="1"/>
        <v>0.56048131180381944</v>
      </c>
      <c r="F17" s="15">
        <f t="shared" si="2"/>
        <v>1877405874732107</v>
      </c>
      <c r="G17" s="56">
        <f t="shared" si="3"/>
        <v>-2.9023776454002004</v>
      </c>
      <c r="H17" s="15">
        <f t="shared" si="4"/>
        <v>6.2409731909581915E-3</v>
      </c>
    </row>
    <row r="18" spans="1:8" x14ac:dyDescent="0.3">
      <c r="A18" s="16">
        <v>68.240000000000009</v>
      </c>
      <c r="B18">
        <v>145</v>
      </c>
      <c r="C18">
        <v>119</v>
      </c>
      <c r="D18" s="31">
        <f t="shared" si="0"/>
        <v>0.82068965517241377</v>
      </c>
      <c r="E18" s="34">
        <f t="shared" si="1"/>
        <v>0.79828644970349139</v>
      </c>
      <c r="F18" s="15">
        <f>FACT($B18)/(FACT($B18-$C18)*FACT($C18))</f>
        <v>3.5797471298556348E+28</v>
      </c>
      <c r="G18" s="56">
        <f t="shared" si="3"/>
        <v>-2.685144867290262</v>
      </c>
      <c r="H18" s="15">
        <f t="shared" si="4"/>
        <v>5.0190361528275372E-4</v>
      </c>
    </row>
    <row r="19" spans="1:8" x14ac:dyDescent="0.3">
      <c r="A19" s="16">
        <v>74.87</v>
      </c>
      <c r="B19">
        <v>87</v>
      </c>
      <c r="C19">
        <v>79</v>
      </c>
      <c r="D19" s="31">
        <f t="shared" si="0"/>
        <v>0.90804597701149425</v>
      </c>
      <c r="E19" s="34">
        <f t="shared" si="1"/>
        <v>0.91606752961658422</v>
      </c>
      <c r="F19" s="15">
        <v>1.4788924199860201E+30</v>
      </c>
      <c r="G19" s="56">
        <f t="shared" si="3"/>
        <v>42.721354028645877</v>
      </c>
      <c r="H19" s="15">
        <f t="shared" si="4"/>
        <v>6.4345306196225609E-5</v>
      </c>
    </row>
    <row r="20" spans="1:8" x14ac:dyDescent="0.3">
      <c r="A20" s="16">
        <v>81.5</v>
      </c>
      <c r="B20" s="33">
        <v>17</v>
      </c>
      <c r="C20">
        <v>17</v>
      </c>
      <c r="D20" s="31">
        <f t="shared" si="0"/>
        <v>1</v>
      </c>
      <c r="E20" s="34">
        <f t="shared" si="1"/>
        <v>0.96646252798994936</v>
      </c>
      <c r="F20" s="15">
        <f t="shared" si="2"/>
        <v>1</v>
      </c>
      <c r="G20" s="56">
        <f>($C20*LN(E20/(1-E20))+($B20*LN(1-E20))+LN(F20))</f>
        <v>-0.57991678261134183</v>
      </c>
      <c r="H20" s="15">
        <f t="shared" si="4"/>
        <v>1.1247620288249301E-3</v>
      </c>
    </row>
    <row r="21" spans="1:8" x14ac:dyDescent="0.3">
      <c r="B21">
        <f>SUM(B11:B20)</f>
        <v>376</v>
      </c>
      <c r="C21">
        <f>SUM(C11:C20)</f>
        <v>251</v>
      </c>
      <c r="F21" s="15"/>
      <c r="G21" s="56">
        <f>SUM(G11:G20)</f>
        <v>33.519857864070822</v>
      </c>
      <c r="H21" s="57">
        <f>SUM(H11:H20)</f>
        <v>8.2855397768428121E-3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7A20-9673-4799-9C3D-60196F39A77D}">
  <sheetPr>
    <tabColor theme="1"/>
  </sheetPr>
  <dimension ref="A2:H22"/>
  <sheetViews>
    <sheetView zoomScale="74" zoomScaleNormal="74" workbookViewId="0">
      <selection activeCell="D23" sqref="D23"/>
    </sheetView>
  </sheetViews>
  <sheetFormatPr baseColWidth="10" defaultRowHeight="13" x14ac:dyDescent="0.3"/>
  <cols>
    <col min="2" max="2" width="16.09765625" customWidth="1"/>
    <col min="3" max="3" width="17" customWidth="1"/>
    <col min="4" max="4" width="20.3984375" customWidth="1"/>
  </cols>
  <sheetData>
    <row r="2" spans="1:8" ht="13" customHeight="1" x14ac:dyDescent="0.3">
      <c r="A2" s="64" t="s">
        <v>632</v>
      </c>
      <c r="B2" s="59"/>
    </row>
    <row r="3" spans="1:8" x14ac:dyDescent="0.3">
      <c r="A3" s="30" t="s">
        <v>633</v>
      </c>
      <c r="B3">
        <v>71.451154744440288</v>
      </c>
    </row>
    <row r="4" spans="1:8" x14ac:dyDescent="0.3">
      <c r="A4" s="30" t="s">
        <v>634</v>
      </c>
      <c r="B4">
        <v>0.10788859383521461</v>
      </c>
    </row>
    <row r="5" spans="1:8" x14ac:dyDescent="0.3">
      <c r="A5" s="30" t="s">
        <v>635</v>
      </c>
      <c r="B5" s="35">
        <f>-G20</f>
        <v>11.3075490793832</v>
      </c>
      <c r="C5" s="30" t="s">
        <v>652</v>
      </c>
      <c r="D5">
        <f>H20</f>
        <v>1.8316345859057826E-2</v>
      </c>
    </row>
    <row r="6" spans="1:8" x14ac:dyDescent="0.3">
      <c r="A6" s="30" t="s">
        <v>661</v>
      </c>
      <c r="B6">
        <f>(B5*2)+(B7*2)</f>
        <v>26.615098158766401</v>
      </c>
    </row>
    <row r="7" spans="1:8" x14ac:dyDescent="0.3">
      <c r="A7" s="30" t="s">
        <v>662</v>
      </c>
      <c r="B7">
        <v>2</v>
      </c>
    </row>
    <row r="8" spans="1:8" x14ac:dyDescent="0.3">
      <c r="E8" t="s">
        <v>644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 s="35">
        <f>EXP(-EXP(-$B$4*(A11-$B$3)))</f>
        <v>3.283438762656893E-75</v>
      </c>
      <c r="F11">
        <f>FACT($B11)/(FACT($B11-$C11)*FACT($C11))</f>
        <v>1</v>
      </c>
      <c r="G11" s="35">
        <f>($C11*LN(E11/(1-E11))+($B11*LN(1-E11))+LN(F11))</f>
        <v>0</v>
      </c>
      <c r="H11">
        <f>POWER((D11-E11),2)</f>
        <v>1.0780970108117828E-149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 s="35">
        <f>EXP(-EXP(-$B$4*(A12-$B$3)))</f>
        <v>1.5109444184205825E-24</v>
      </c>
      <c r="F12">
        <f>FACT($B12)/(FACT($B12-$C12)*FACT($C12))</f>
        <v>1</v>
      </c>
      <c r="G12" s="35">
        <f>($C12*LN(E12/(1-E12))+($B12*LN(1-E12))+LN(F12))</f>
        <v>0</v>
      </c>
      <c r="H12">
        <f t="shared" ref="H12:H19" si="1">POWER((D12-E12),2)</f>
        <v>2.2829530355563122E-48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 s="35">
        <f t="shared" ref="E13:E19" si="2">EXP(-EXP(-$B$4*(A13-$B$3)))</f>
        <v>2.4090416636808058E-8</v>
      </c>
      <c r="F13">
        <f t="shared" ref="F13:F19" si="3">FACT($B13)/(FACT($B13-$C13)*FACT($C13))</f>
        <v>1</v>
      </c>
      <c r="G13" s="35">
        <f t="shared" ref="G13:G19" si="4">($C13*LN(E13/(1-E13))+($B13*LN(1-E13))+LN(F13))</f>
        <v>-3.1317542037196124E-7</v>
      </c>
      <c r="H13">
        <f t="shared" si="1"/>
        <v>5.8034817373499852E-16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 s="35">
        <f t="shared" si="2"/>
        <v>3.6612085632978415E-3</v>
      </c>
      <c r="F14">
        <f t="shared" si="3"/>
        <v>19</v>
      </c>
      <c r="G14" s="35">
        <f t="shared" si="4"/>
        <v>-2.7315456878004154</v>
      </c>
      <c r="H14">
        <f t="shared" si="1"/>
        <v>2.398097175553057E-3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 s="35">
        <f t="shared" si="2"/>
        <v>0.16627177497778795</v>
      </c>
      <c r="F15">
        <f t="shared" si="3"/>
        <v>4495.0000000000009</v>
      </c>
      <c r="G15" s="35">
        <f t="shared" si="4"/>
        <v>-2.0634123174639694</v>
      </c>
      <c r="H15">
        <f t="shared" si="1"/>
        <v>4.8299138245362023E-3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 s="35">
        <f t="shared" si="2"/>
        <v>0.56338934481412661</v>
      </c>
      <c r="F16">
        <f t="shared" si="3"/>
        <v>1.1826458156486139E+17</v>
      </c>
      <c r="G16" s="35">
        <f t="shared" si="4"/>
        <v>-2.7632322618134566</v>
      </c>
      <c r="H16">
        <f t="shared" si="1"/>
        <v>4.0182090359642403E-3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 s="35">
        <f t="shared" si="2"/>
        <v>0.83234941226440817</v>
      </c>
      <c r="F17">
        <f t="shared" si="3"/>
        <v>1370754.0000000005</v>
      </c>
      <c r="G17" s="35">
        <f t="shared" si="4"/>
        <v>-2.3221163363489552</v>
      </c>
      <c r="H17">
        <f t="shared" si="1"/>
        <v>3.4756844270816931E-3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 s="35">
        <f t="shared" si="2"/>
        <v>0.94300244976279712</v>
      </c>
      <c r="F18">
        <f t="shared" si="3"/>
        <v>1</v>
      </c>
      <c r="G18" s="35">
        <f t="shared" si="4"/>
        <v>-1.408473564297509</v>
      </c>
      <c r="H18">
        <f t="shared" si="1"/>
        <v>3.2487207330424658E-3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 s="35">
        <f t="shared" si="2"/>
        <v>0.98140643490667834</v>
      </c>
      <c r="F19">
        <f t="shared" si="3"/>
        <v>1</v>
      </c>
      <c r="G19" s="35">
        <f t="shared" si="4"/>
        <v>-1.8768598483474896E-2</v>
      </c>
      <c r="H19">
        <f t="shared" si="1"/>
        <v>3.457206628795898E-4</v>
      </c>
    </row>
    <row r="20" spans="1:8" x14ac:dyDescent="0.3">
      <c r="B20">
        <f>SUM(B11:B19)</f>
        <v>200</v>
      </c>
      <c r="C20">
        <f>SUM(C11:C19)</f>
        <v>100</v>
      </c>
      <c r="G20" s="51">
        <f>SUM(G11:G19)</f>
        <v>-11.3075490793832</v>
      </c>
      <c r="H20">
        <f>SUM(H11:H19)</f>
        <v>1.8316345859057826E-2</v>
      </c>
    </row>
    <row r="22" spans="1:8" ht="16" customHeight="1" x14ac:dyDescent="0.3"/>
  </sheetData>
  <mergeCells count="1">
    <mergeCell ref="A2:B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9800-377B-49E2-81FC-960C0EC9E9CB}">
  <sheetPr>
    <tabColor theme="1"/>
  </sheetPr>
  <dimension ref="A2:H22"/>
  <sheetViews>
    <sheetView zoomScale="64" zoomScaleNormal="64" workbookViewId="0">
      <selection activeCell="B6" sqref="B6"/>
    </sheetView>
  </sheetViews>
  <sheetFormatPr baseColWidth="10" defaultRowHeight="13" x14ac:dyDescent="0.3"/>
  <cols>
    <col min="2" max="2" width="16.09765625" customWidth="1"/>
    <col min="3" max="3" width="17" customWidth="1"/>
    <col min="4" max="4" width="20.3984375" customWidth="1"/>
    <col min="5" max="5" width="13.3984375" bestFit="1" customWidth="1"/>
    <col min="6" max="6" width="26" customWidth="1"/>
    <col min="7" max="7" width="16.5" customWidth="1"/>
    <col min="8" max="8" width="20.69921875" customWidth="1"/>
  </cols>
  <sheetData>
    <row r="2" spans="1:8" x14ac:dyDescent="0.3">
      <c r="A2" s="64" t="s">
        <v>632</v>
      </c>
      <c r="B2" s="59"/>
    </row>
    <row r="3" spans="1:8" x14ac:dyDescent="0.3">
      <c r="A3" s="30" t="s">
        <v>633</v>
      </c>
      <c r="B3">
        <v>40.340177756167151</v>
      </c>
    </row>
    <row r="4" spans="1:8" x14ac:dyDescent="0.3">
      <c r="A4" s="30" t="s">
        <v>634</v>
      </c>
      <c r="B4">
        <v>0.2398018254816201</v>
      </c>
    </row>
    <row r="5" spans="1:8" x14ac:dyDescent="0.3">
      <c r="A5" s="30" t="s">
        <v>635</v>
      </c>
      <c r="B5">
        <f>-G21</f>
        <v>13.791508913867887</v>
      </c>
      <c r="C5" s="30" t="s">
        <v>652</v>
      </c>
      <c r="D5">
        <f>H21</f>
        <v>2.290468650345381E-2</v>
      </c>
    </row>
    <row r="6" spans="1:8" x14ac:dyDescent="0.3">
      <c r="A6" s="30" t="s">
        <v>661</v>
      </c>
      <c r="B6">
        <f>(B5*2)+(B7*2)</f>
        <v>31.583017827735773</v>
      </c>
    </row>
    <row r="7" spans="1:8" x14ac:dyDescent="0.3">
      <c r="A7" s="30" t="s">
        <v>662</v>
      </c>
      <c r="B7">
        <v>2</v>
      </c>
    </row>
    <row r="8" spans="1:8" x14ac:dyDescent="0.3">
      <c r="D8" t="s">
        <v>651</v>
      </c>
      <c r="E8" t="s">
        <v>644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EXP(-EXP(-$B$4*(A11-$B$3)))</f>
        <v>5.5442777153681224E-257</v>
      </c>
      <c r="F11">
        <f t="shared" ref="F11:F20" si="1">FACT($B11)/(FACT($B11-$C11)*FACT($C11))</f>
        <v>1</v>
      </c>
      <c r="G11" s="52">
        <f>0</f>
        <v>0</v>
      </c>
      <c r="H11">
        <f>POWER((D11-E11),2)</f>
        <v>0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19" si="2">EXP(-EXP(-$B$4*(A12-$B$3)))</f>
        <v>2.7414878334795938E-82</v>
      </c>
      <c r="F12">
        <f>FACT($B12)/(FACT($B12-$C12)*FACT($C12))</f>
        <v>1</v>
      </c>
      <c r="G12" s="50">
        <f t="shared" ref="G12:G13" si="3">($C12*LN(E12/(1-E12))+($B12*LN(1-E12))+LN(F12))</f>
        <v>0</v>
      </c>
      <c r="H12">
        <f t="shared" ref="H12:H20" si="4">POWER((D12-E12),2)</f>
        <v>7.5157555411166373E-164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2"/>
        <v>1.0969483477906423E-26</v>
      </c>
      <c r="F13">
        <f t="shared" si="1"/>
        <v>1</v>
      </c>
      <c r="G13" s="50">
        <f t="shared" si="3"/>
        <v>0</v>
      </c>
      <c r="H13">
        <f t="shared" si="4"/>
        <v>1.2032956777206198E-52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2"/>
        <v>5.462971588058651E-9</v>
      </c>
      <c r="F14">
        <f t="shared" si="1"/>
        <v>1</v>
      </c>
      <c r="G14" s="50">
        <f t="shared" ref="G14:G19" si="5">($C14*LN(E14/(1-E14))+($B14*LN(1-E14))+LN(F14))</f>
        <v>-1.6388914936628871E-8</v>
      </c>
      <c r="H14">
        <f t="shared" si="4"/>
        <v>2.9844058571936059E-17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2"/>
        <v>2.3451084888945939E-3</v>
      </c>
      <c r="F15">
        <f t="shared" si="1"/>
        <v>35.000000000000007</v>
      </c>
      <c r="G15">
        <f t="shared" si="5"/>
        <v>-2.5799028798647257</v>
      </c>
      <c r="H15">
        <f t="shared" si="4"/>
        <v>6.8781986507152504E-4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2"/>
        <v>0.14553491693186943</v>
      </c>
      <c r="F16">
        <f t="shared" si="1"/>
        <v>325.00000000000006</v>
      </c>
      <c r="G16">
        <f t="shared" si="5"/>
        <v>-1.8455646543498094</v>
      </c>
      <c r="H16">
        <f t="shared" si="4"/>
        <v>4.7075845893921392E-3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2"/>
        <v>0.54148517749827718</v>
      </c>
      <c r="F17">
        <f>FACT($B17)/(FACT($B17-$C17)*FACT($C17))</f>
        <v>1866442158555973.3</v>
      </c>
      <c r="G17">
        <f t="shared" si="5"/>
        <v>-3.898705158381901</v>
      </c>
      <c r="H17">
        <f t="shared" si="4"/>
        <v>1.5203718418723804E-2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2"/>
        <v>0.82263105006627812</v>
      </c>
      <c r="F18" s="53">
        <v>1.87787981283066E+28</v>
      </c>
      <c r="G18">
        <f t="shared" si="5"/>
        <v>-3.5731355252449788</v>
      </c>
      <c r="H18">
        <f t="shared" si="4"/>
        <v>1.8374961813559403E-3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2"/>
        <v>0.93974757193938485</v>
      </c>
      <c r="F19">
        <f t="shared" si="1"/>
        <v>13991543.999999998</v>
      </c>
      <c r="G19">
        <f t="shared" si="5"/>
        <v>-1.7557450114069688</v>
      </c>
      <c r="H19">
        <f t="shared" si="4"/>
        <v>8.4493165200585747E-5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>EXP(-EXP(-$B$4*(A20-$B$3)))</f>
        <v>0.98041494744174063</v>
      </c>
      <c r="F20">
        <f t="shared" si="1"/>
        <v>1</v>
      </c>
      <c r="G20">
        <f>($C20*LN(E20/(1-E20))+($B20*LN(1-E20))+LN(F20))</f>
        <v>-0.13845566823058775</v>
      </c>
      <c r="H20">
        <f t="shared" si="4"/>
        <v>3.8357428370978209E-4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-13.791508913867887</v>
      </c>
      <c r="H21" s="50">
        <f>SUM(H11:H20)</f>
        <v>2.290468650345381E-2</v>
      </c>
    </row>
    <row r="22" spans="1:8" x14ac:dyDescent="0.3">
      <c r="D22" s="31"/>
    </row>
  </sheetData>
  <mergeCells count="1">
    <mergeCell ref="A2:B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6898-EE93-46F9-B188-8B1C490E3028}">
  <sheetPr>
    <tabColor theme="1"/>
  </sheetPr>
  <dimension ref="A2:H20"/>
  <sheetViews>
    <sheetView zoomScale="74" workbookViewId="0">
      <selection activeCell="E19" sqref="E19"/>
    </sheetView>
  </sheetViews>
  <sheetFormatPr baseColWidth="10" defaultRowHeight="13" x14ac:dyDescent="0.3"/>
  <cols>
    <col min="2" max="2" width="16.09765625" customWidth="1"/>
    <col min="3" max="3" width="17" customWidth="1"/>
    <col min="4" max="4" width="20.3984375" customWidth="1"/>
    <col min="5" max="5" width="11.8984375" bestFit="1" customWidth="1"/>
  </cols>
  <sheetData>
    <row r="2" spans="1:8" x14ac:dyDescent="0.3">
      <c r="A2" s="64" t="s">
        <v>632</v>
      </c>
      <c r="B2" s="59"/>
    </row>
    <row r="3" spans="1:8" x14ac:dyDescent="0.3">
      <c r="A3" s="30" t="s">
        <v>633</v>
      </c>
      <c r="B3">
        <v>49.809952774148329</v>
      </c>
    </row>
    <row r="4" spans="1:8" x14ac:dyDescent="0.3">
      <c r="A4" s="30" t="s">
        <v>634</v>
      </c>
      <c r="B4">
        <v>0.17278828446367742</v>
      </c>
    </row>
    <row r="5" spans="1:8" x14ac:dyDescent="0.3">
      <c r="A5" s="30" t="s">
        <v>635</v>
      </c>
      <c r="B5" s="35">
        <f>-G20</f>
        <v>9.8163884165236546</v>
      </c>
      <c r="C5" s="30" t="s">
        <v>652</v>
      </c>
      <c r="D5">
        <f>H20</f>
        <v>2.5504012139937308E-2</v>
      </c>
    </row>
    <row r="6" spans="1:8" x14ac:dyDescent="0.3">
      <c r="A6" s="30" t="s">
        <v>661</v>
      </c>
      <c r="B6">
        <f>(B5*2)+(B7*2)</f>
        <v>23.632776833047309</v>
      </c>
    </row>
    <row r="7" spans="1:8" x14ac:dyDescent="0.3">
      <c r="A7" s="30" t="s">
        <v>662</v>
      </c>
      <c r="B7">
        <v>2</v>
      </c>
    </row>
    <row r="8" spans="1:8" x14ac:dyDescent="0.3">
      <c r="E8" t="s">
        <v>644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 s="35">
        <f>EXP(-EXP(-$B$4*(A11-$B$3)))</f>
        <v>3.5337858601207887E-118</v>
      </c>
      <c r="F11">
        <f>FACT($B11)/(FACT($B11-$C11)*FACT($C11))</f>
        <v>1</v>
      </c>
      <c r="G11" s="35">
        <f>($C11*LN(E11/(1-E11))+($B11*LN(1-E11))+LN(F11))</f>
        <v>0</v>
      </c>
      <c r="H11" s="14">
        <f>POWER((D11-E11),2)</f>
        <v>1.2487642505189622E-235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 s="35">
        <f t="shared" ref="E12:E19" si="1">EXP(-EXP(-$B$4*(A12-$B$3)))</f>
        <v>2.6481326278949369E-27</v>
      </c>
      <c r="F12">
        <f>FACT($B12)/(FACT($B12-$C12)*FACT($C12))</f>
        <v>1</v>
      </c>
      <c r="G12" s="35">
        <f>($C12*LN(E12/(1-E12))+($B12*LN(1-E12))+LN(F12))</f>
        <v>0</v>
      </c>
      <c r="H12" s="14">
        <f t="shared" ref="H12:H19" si="2">POWER((D12-E12),2)</f>
        <v>7.0126064149217447E-54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 s="35">
        <f t="shared" si="1"/>
        <v>9.6855790545826283E-7</v>
      </c>
      <c r="F13">
        <f t="shared" ref="F13:F19" si="3">FACT($B13)/(FACT($B13-$C13)*FACT($C13))</f>
        <v>1</v>
      </c>
      <c r="G13" s="35">
        <f t="shared" ref="G13:G19" si="4">($C13*LN(E13/(1-E13))+($B13*LN(1-E13))+LN(F13))</f>
        <v>-2.5182517736653263E-5</v>
      </c>
      <c r="H13" s="14">
        <f t="shared" si="2"/>
        <v>9.3810441622569714E-13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 s="35">
        <f t="shared" si="1"/>
        <v>4.356890084679773E-2</v>
      </c>
      <c r="F14">
        <f t="shared" si="3"/>
        <v>4495.0000000000009</v>
      </c>
      <c r="G14" s="35">
        <f t="shared" si="4"/>
        <v>-2.2368168095266316</v>
      </c>
      <c r="H14" s="14">
        <f t="shared" si="2"/>
        <v>2.8308031714617985E-3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 s="35">
        <f t="shared" si="1"/>
        <v>0.49212111641265338</v>
      </c>
      <c r="F15">
        <f t="shared" si="3"/>
        <v>119032357903549.97</v>
      </c>
      <c r="G15" s="35">
        <f t="shared" si="4"/>
        <v>-4.0965789666518404</v>
      </c>
      <c r="H15" s="14">
        <f t="shared" si="2"/>
        <v>1.7857123993503379E-2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 s="35">
        <f t="shared" si="1"/>
        <v>0.85176904494361616</v>
      </c>
      <c r="F16">
        <f t="shared" si="3"/>
        <v>3819816.0000000005</v>
      </c>
      <c r="G16" s="35">
        <f t="shared" si="4"/>
        <v>-2.5716387685512032</v>
      </c>
      <c r="H16" s="14">
        <f t="shared" si="2"/>
        <v>3.4745414095122022E-3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 s="35">
        <f t="shared" si="1"/>
        <v>0.96434666686460879</v>
      </c>
      <c r="F17">
        <f t="shared" si="3"/>
        <v>1</v>
      </c>
      <c r="G17" s="35">
        <f t="shared" si="4"/>
        <v>-0.90761090216827256</v>
      </c>
      <c r="H17" s="14">
        <f t="shared" si="2"/>
        <v>1.2711601636631847E-3</v>
      </c>
    </row>
    <row r="18" spans="1:8" x14ac:dyDescent="0.3">
      <c r="A18" s="16">
        <v>77.600000000000023</v>
      </c>
      <c r="B18">
        <v>0</v>
      </c>
      <c r="C18">
        <v>0</v>
      </c>
      <c r="D18" s="48">
        <f>1</f>
        <v>1</v>
      </c>
      <c r="E18" s="35">
        <f t="shared" si="1"/>
        <v>0.99181865952100978</v>
      </c>
      <c r="F18">
        <f t="shared" si="3"/>
        <v>1</v>
      </c>
      <c r="G18" s="35">
        <f t="shared" si="4"/>
        <v>0</v>
      </c>
      <c r="H18" s="14">
        <f t="shared" si="2"/>
        <v>6.6934332033163882E-5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 s="35">
        <f t="shared" si="1"/>
        <v>0.9981428331185711</v>
      </c>
      <c r="F19">
        <f t="shared" si="3"/>
        <v>1</v>
      </c>
      <c r="G19" s="35">
        <f t="shared" si="4"/>
        <v>-3.7177871079698832E-3</v>
      </c>
      <c r="H19" s="14">
        <f t="shared" si="2"/>
        <v>3.4490688254763294E-6</v>
      </c>
    </row>
    <row r="20" spans="1:8" x14ac:dyDescent="0.3">
      <c r="B20">
        <f>SUM(B11:B19)</f>
        <v>200</v>
      </c>
      <c r="C20">
        <f>SUM(C11:C19)</f>
        <v>100</v>
      </c>
      <c r="G20" s="51">
        <f>SUM(G11:G19)</f>
        <v>-9.8163884165236546</v>
      </c>
      <c r="H20" s="14">
        <f>SUM(H11:H19)</f>
        <v>2.5504012139937308E-2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2524-DABC-4FA6-B4D7-26F48499F5D4}">
  <sheetPr>
    <tabColor theme="4"/>
  </sheetPr>
  <dimension ref="A2:H21"/>
  <sheetViews>
    <sheetView zoomScale="74" zoomScaleNormal="74" workbookViewId="0">
      <selection activeCell="B6" sqref="B6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</cols>
  <sheetData>
    <row r="2" spans="1:8" x14ac:dyDescent="0.3">
      <c r="A2" s="64" t="s">
        <v>656</v>
      </c>
      <c r="B2" s="64"/>
    </row>
    <row r="3" spans="1:8" x14ac:dyDescent="0.3">
      <c r="A3" s="36" t="s">
        <v>653</v>
      </c>
      <c r="B3">
        <v>0.17341497153392066</v>
      </c>
    </row>
    <row r="4" spans="1:8" x14ac:dyDescent="0.3">
      <c r="A4" s="36" t="s">
        <v>654</v>
      </c>
      <c r="B4">
        <v>1.4893991899869137</v>
      </c>
    </row>
    <row r="5" spans="1:8" x14ac:dyDescent="0.3">
      <c r="A5" s="14" t="s">
        <v>633</v>
      </c>
      <c r="B5">
        <v>59.942668618396183</v>
      </c>
    </row>
    <row r="6" spans="1:8" x14ac:dyDescent="0.3">
      <c r="A6" s="14" t="s">
        <v>655</v>
      </c>
      <c r="B6">
        <f>-G21</f>
        <v>10.682314152475737</v>
      </c>
      <c r="C6" s="14" t="s">
        <v>652</v>
      </c>
      <c r="D6">
        <f>H21</f>
        <v>4.2137660996496339E-3</v>
      </c>
    </row>
    <row r="7" spans="1:8" x14ac:dyDescent="0.3">
      <c r="A7" s="30" t="s">
        <v>661</v>
      </c>
      <c r="B7">
        <f>(B6*2)+(B8*2)</f>
        <v>27.364628304951474</v>
      </c>
    </row>
    <row r="8" spans="1:8" x14ac:dyDescent="0.3">
      <c r="A8" s="30" t="s">
        <v>662</v>
      </c>
      <c r="B8">
        <v>3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(1-(1-$B$4)*EXP(-$B$3*(A11-$B$5)))^(1/(1-$B$4))</f>
        <v>5.8419234409446478E-6</v>
      </c>
      <c r="F11">
        <f>FACT(B11)/(FACT(B11-C11)*FACT(C11))</f>
        <v>1</v>
      </c>
      <c r="G11">
        <f>($C11*LN(E11/(1-E11))+($B11*LN(1-E11))+LN(F11))</f>
        <v>-1.7525821515293908E-5</v>
      </c>
      <c r="H11">
        <f>POWER((E11-D11),2)</f>
        <v>3.4128069489858555E-11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 t="shared" ref="E12:E20" si="1">(1-(1-$B$4)*EXP(-$B$3*(A12-$B$5)))^(1/(1-$B$4))</f>
        <v>6.0478057251447851E-5</v>
      </c>
      <c r="F12">
        <f t="shared" ref="F12:F20" si="2">FACT(B12)/(FACT(B12-C12)*FACT(C12))</f>
        <v>1</v>
      </c>
      <c r="G12">
        <f t="shared" ref="G12:G20" si="3">($C12*LN(E12/(1-E12))+($B12*LN(1-E12))+LN(F12))</f>
        <v>-6.0479886122843317E-5</v>
      </c>
      <c r="H12">
        <f t="shared" ref="H12:H20" si="4">POWER((E12-D12),2)</f>
        <v>3.657595408909404E-9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si="1"/>
        <v>6.1028206427159908E-4</v>
      </c>
      <c r="F13">
        <f t="shared" si="2"/>
        <v>1</v>
      </c>
      <c r="G13">
        <f t="shared" si="3"/>
        <v>-6.1046836217062495E-4</v>
      </c>
      <c r="H13">
        <f t="shared" si="4"/>
        <v>3.7244419797160417E-7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1"/>
        <v>5.7026925756430234E-3</v>
      </c>
      <c r="F14">
        <f t="shared" si="2"/>
        <v>1</v>
      </c>
      <c r="G14">
        <f t="shared" si="3"/>
        <v>-2.287606004433327E-2</v>
      </c>
      <c r="H14">
        <f t="shared" si="4"/>
        <v>3.2520702612294057E-5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1"/>
        <v>4.3197192387128359E-2</v>
      </c>
      <c r="F15">
        <f t="shared" si="2"/>
        <v>24.999999999999996</v>
      </c>
      <c r="G15">
        <f t="shared" si="3"/>
        <v>-0.98289502590434674</v>
      </c>
      <c r="H15">
        <f t="shared" si="4"/>
        <v>1.0222039160311532E-5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1"/>
        <v>0.20784734843137118</v>
      </c>
      <c r="F16">
        <f t="shared" si="2"/>
        <v>211915132</v>
      </c>
      <c r="G16">
        <f t="shared" si="3"/>
        <v>-1.9569008184992711</v>
      </c>
      <c r="H16">
        <f t="shared" si="4"/>
        <v>5.2541268991068018E-4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1"/>
        <v>0.52831923513556145</v>
      </c>
      <c r="F17">
        <f t="shared" si="2"/>
        <v>1877405874732107</v>
      </c>
      <c r="G17">
        <f t="shared" si="3"/>
        <v>-2.4614316502261673</v>
      </c>
      <c r="H17">
        <f t="shared" si="4"/>
        <v>2.1937751673602839E-3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1"/>
        <v>0.79899028436823827</v>
      </c>
      <c r="F18">
        <f t="shared" si="2"/>
        <v>3.5797471298556348E+28</v>
      </c>
      <c r="G18">
        <f t="shared" si="3"/>
        <v>-2.6711508288233574</v>
      </c>
      <c r="H18">
        <f t="shared" si="4"/>
        <v>4.7086269329710409E-4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>
        <f t="shared" si="1"/>
        <v>0.92888029272769257</v>
      </c>
      <c r="F19">
        <f t="shared" si="2"/>
        <v>58433559569.999947</v>
      </c>
      <c r="G19">
        <f t="shared" si="3"/>
        <v>-2.1842271754387212</v>
      </c>
      <c r="H19">
        <f t="shared" si="4"/>
        <v>4.3406871136222809E-4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>
        <f t="shared" si="1"/>
        <v>0.97662206253697126</v>
      </c>
      <c r="F20">
        <f t="shared" si="2"/>
        <v>1</v>
      </c>
      <c r="G20">
        <f t="shared" si="3"/>
        <v>-0.40214411946973172</v>
      </c>
      <c r="H20">
        <f t="shared" si="4"/>
        <v>5.4652796002528268E-4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-10.682314152475737</v>
      </c>
      <c r="H21">
        <f>SUM(H11:H20)</f>
        <v>4.2137660996496339E-3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C0B3-93E1-4989-BC61-E5D97D84A851}">
  <sheetPr>
    <tabColor theme="4"/>
  </sheetPr>
  <dimension ref="A2:H20"/>
  <sheetViews>
    <sheetView tabSelected="1" zoomScale="82" zoomScaleNormal="82" workbookViewId="0">
      <selection activeCell="B7" sqref="B7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656</v>
      </c>
      <c r="B2" s="64"/>
    </row>
    <row r="3" spans="1:8" x14ac:dyDescent="0.3">
      <c r="A3" s="36" t="s">
        <v>653</v>
      </c>
      <c r="B3">
        <v>0.24182852093876211</v>
      </c>
    </row>
    <row r="4" spans="1:8" x14ac:dyDescent="0.3">
      <c r="A4" s="36" t="s">
        <v>654</v>
      </c>
      <c r="B4">
        <v>2.6643596416285629</v>
      </c>
    </row>
    <row r="5" spans="1:8" x14ac:dyDescent="0.3">
      <c r="A5" s="14" t="s">
        <v>633</v>
      </c>
      <c r="B5">
        <v>78.010350739163812</v>
      </c>
    </row>
    <row r="6" spans="1:8" x14ac:dyDescent="0.3">
      <c r="A6" s="14" t="s">
        <v>655</v>
      </c>
      <c r="B6">
        <f>-G20</f>
        <v>7.0438464567976</v>
      </c>
      <c r="C6" s="14" t="s">
        <v>652</v>
      </c>
      <c r="D6">
        <f>H20</f>
        <v>2.0372584509938266E-3</v>
      </c>
    </row>
    <row r="7" spans="1:8" x14ac:dyDescent="0.3">
      <c r="A7" s="30" t="s">
        <v>661</v>
      </c>
      <c r="B7">
        <f>(B6*2)+(B8*2)</f>
        <v>20.087692913595198</v>
      </c>
    </row>
    <row r="8" spans="1:8" x14ac:dyDescent="0.3">
      <c r="A8" s="30" t="s">
        <v>662</v>
      </c>
      <c r="B8">
        <v>3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(1-(1-$B$4)*EXP(-$B$3*(A11-$B$5)))^(1/(1-$B$4))</f>
        <v>2.7808038611740052E-4</v>
      </c>
      <c r="F11">
        <f>FACT(B11)/(FACT(B11-C11)*FACT(C11))</f>
        <v>1</v>
      </c>
      <c r="G11">
        <f>($C11*LN(E11/(1-E11))+($B11*LN(1-E11))+LN(F11))</f>
        <v>-1.3905952881868079E-3</v>
      </c>
      <c r="H11">
        <f>POWER((E11-D11),2)</f>
        <v>7.7328701143202558E-8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(1-(1-$B$4)*EXP(-$B$3*(A12-$B$5)))^(1/(1-$B$4))</f>
        <v>1.2910610121394433E-3</v>
      </c>
      <c r="F12">
        <f t="shared" ref="F12:F19" si="2">FACT(B12)/(FACT(B12-C12)*FACT(C12))</f>
        <v>1</v>
      </c>
      <c r="G12">
        <f t="shared" ref="G12:G19" si="3">($C12*LN(E12/(1-E12))+($B12*LN(1-E12))+LN(F12))</f>
        <v>-1.2918951494334159E-3</v>
      </c>
      <c r="H12">
        <f t="shared" ref="H12:H19" si="4">POWER((E12-D12),2)</f>
        <v>1.6668385370665239E-6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5.9934757436541581E-3</v>
      </c>
      <c r="F13">
        <f t="shared" si="2"/>
        <v>1</v>
      </c>
      <c r="G13">
        <f t="shared" si="3"/>
        <v>-7.8149613216073222E-2</v>
      </c>
      <c r="H13">
        <f t="shared" si="4"/>
        <v>3.5921751489770765E-5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2.7786865653862708E-2</v>
      </c>
      <c r="F14">
        <f t="shared" si="2"/>
        <v>19</v>
      </c>
      <c r="G14">
        <f t="shared" si="3"/>
        <v>-1.1459968909782301</v>
      </c>
      <c r="H14">
        <f t="shared" si="4"/>
        <v>6.1725977863649935E-4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0.12669924551471984</v>
      </c>
      <c r="F15">
        <f t="shared" si="2"/>
        <v>4495.0000000000009</v>
      </c>
      <c r="G15">
        <f t="shared" si="3"/>
        <v>-1.5804042100309204</v>
      </c>
      <c r="H15">
        <f t="shared" si="4"/>
        <v>8.9550873518771522E-4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0.48445347515924403</v>
      </c>
      <c r="F16">
        <f t="shared" si="2"/>
        <v>1.1826458156486139E+17</v>
      </c>
      <c r="G16">
        <f t="shared" si="3"/>
        <v>-2.3061474686709289</v>
      </c>
      <c r="H16">
        <f t="shared" si="4"/>
        <v>2.4169443462424247E-4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0.9045072714935084</v>
      </c>
      <c r="F17">
        <f t="shared" si="2"/>
        <v>1370754.0000000005</v>
      </c>
      <c r="G17">
        <f t="shared" si="3"/>
        <v>-1.7276166995266777</v>
      </c>
      <c r="H17">
        <f t="shared" si="4"/>
        <v>1.7431719336775839E-4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0.99161078253343193</v>
      </c>
      <c r="F18">
        <f t="shared" si="2"/>
        <v>1</v>
      </c>
      <c r="G18">
        <f t="shared" si="3"/>
        <v>-0.20219052014995498</v>
      </c>
      <c r="H18">
        <f t="shared" si="4"/>
        <v>7.0378969701370724E-5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0.99934165301834044</v>
      </c>
      <c r="F19">
        <f t="shared" si="2"/>
        <v>1</v>
      </c>
      <c r="G19">
        <f t="shared" si="3"/>
        <v>-6.5856378719431063E-4</v>
      </c>
      <c r="H19">
        <f t="shared" si="4"/>
        <v>4.3342074826025737E-7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-7.0438464567976</v>
      </c>
      <c r="H20">
        <f>SUM(H11:H19)</f>
        <v>2.0372584509938266E-3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2B29-EE4E-426A-AE3B-EEEC40116510}">
  <sheetPr>
    <tabColor theme="4"/>
  </sheetPr>
  <dimension ref="A2:H21"/>
  <sheetViews>
    <sheetView zoomScale="89" zoomScaleNormal="89" workbookViewId="0">
      <selection activeCell="B6" sqref="B6"/>
    </sheetView>
  </sheetViews>
  <sheetFormatPr baseColWidth="10" defaultRowHeight="13" x14ac:dyDescent="0.3"/>
  <cols>
    <col min="2" max="2" width="17.796875" customWidth="1"/>
    <col min="3" max="3" width="15.296875" customWidth="1"/>
    <col min="4" max="4" width="19.796875" customWidth="1"/>
    <col min="6" max="6" width="12.09765625" bestFit="1" customWidth="1"/>
  </cols>
  <sheetData>
    <row r="2" spans="1:8" x14ac:dyDescent="0.3">
      <c r="A2" s="64" t="s">
        <v>656</v>
      </c>
      <c r="B2" s="64"/>
    </row>
    <row r="3" spans="1:8" x14ac:dyDescent="0.3">
      <c r="A3" s="36" t="s">
        <v>653</v>
      </c>
      <c r="B3">
        <v>0.35727108285739911</v>
      </c>
    </row>
    <row r="4" spans="1:8" x14ac:dyDescent="0.3">
      <c r="A4" s="36" t="s">
        <v>654</v>
      </c>
      <c r="B4">
        <v>1.7618467899571779</v>
      </c>
    </row>
    <row r="5" spans="1:8" x14ac:dyDescent="0.3">
      <c r="A5" s="14" t="s">
        <v>633</v>
      </c>
      <c r="B5">
        <v>42.547860517983899</v>
      </c>
    </row>
    <row r="6" spans="1:8" x14ac:dyDescent="0.3">
      <c r="A6" s="14" t="s">
        <v>655</v>
      </c>
      <c r="B6">
        <f>-G21</f>
        <v>10.8391018247316</v>
      </c>
      <c r="C6" s="14" t="s">
        <v>652</v>
      </c>
      <c r="D6">
        <f>H21</f>
        <v>5.053292483270481E-3</v>
      </c>
    </row>
    <row r="7" spans="1:8" x14ac:dyDescent="0.3">
      <c r="A7" s="30" t="s">
        <v>661</v>
      </c>
      <c r="B7">
        <f>(B6*2)+(B8*2)</f>
        <v>27.6782036494632</v>
      </c>
    </row>
    <row r="8" spans="1:8" x14ac:dyDescent="0.3">
      <c r="A8" s="30" t="s">
        <v>662</v>
      </c>
      <c r="B8">
        <v>3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(1-(1-$B$4)*EXP(-$B$3*(A11-$B$5)))^(1/(1-$B$4))</f>
        <v>1.9350202809387945E-6</v>
      </c>
      <c r="F11">
        <f>FACT(B11)/(FACT(B11-C11)*FACT(C11))</f>
        <v>1</v>
      </c>
      <c r="G11">
        <f>($C11*LN(E11/(1-E11))+($B11*LN(1-E11))+LN(F11))</f>
        <v>-5.80506645915209E-6</v>
      </c>
      <c r="H11">
        <f>POWER((E11-D11),2)</f>
        <v>3.7443034876444518E-12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(1-(1-$B$4)*EXP(-$B$3*(A12-$B$5)))^(1/(1-$B$4))</f>
        <v>1.8149474786590602E-5</v>
      </c>
      <c r="F12">
        <f t="shared" ref="F12:F20" si="2">FACT(B12)/(FACT(B12-C12)*FACT(C12))</f>
        <v>1</v>
      </c>
      <c r="G12">
        <f t="shared" ref="G12:G20" si="3">($C12*LN(E12/(1-E12))+($B12*LN(1-E12))+LN(F12))</f>
        <v>-1.8149639490332143E-5</v>
      </c>
      <c r="H12">
        <f t="shared" ref="H12:H20" si="4">POWER((E12-D12),2)</f>
        <v>3.2940343502908798E-10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1.700315464021803E-4</v>
      </c>
      <c r="F13">
        <f t="shared" si="2"/>
        <v>1</v>
      </c>
      <c r="G13">
        <f t="shared" si="3"/>
        <v>0</v>
      </c>
      <c r="H13">
        <f t="shared" si="4"/>
        <v>2.891072677191679E-8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1.5826408036711296E-3</v>
      </c>
      <c r="F14">
        <f t="shared" si="2"/>
        <v>1</v>
      </c>
      <c r="G14">
        <f t="shared" si="3"/>
        <v>-4.7516835077173452E-3</v>
      </c>
      <c r="H14">
        <f t="shared" si="4"/>
        <v>2.5047519134447991E-6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1.4226666486290635E-2</v>
      </c>
      <c r="F15">
        <f t="shared" si="2"/>
        <v>35.000000000000007</v>
      </c>
      <c r="G15">
        <f t="shared" si="3"/>
        <v>-1.1844695055808785</v>
      </c>
      <c r="H15">
        <f t="shared" si="4"/>
        <v>2.0577219927921084E-4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0.10783544562030853</v>
      </c>
      <c r="F16">
        <f t="shared" si="2"/>
        <v>325.00000000000006</v>
      </c>
      <c r="G16">
        <f t="shared" si="3"/>
        <v>-1.4089849984760594</v>
      </c>
      <c r="H16">
        <f t="shared" si="4"/>
        <v>9.5557453847358413E-4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0.45911852664157671</v>
      </c>
      <c r="F17">
        <f t="shared" si="2"/>
        <v>1866442158555973.3</v>
      </c>
      <c r="G17">
        <f t="shared" si="3"/>
        <v>-2.4072312743105826</v>
      </c>
      <c r="H17">
        <f t="shared" si="4"/>
        <v>1.6758140995192675E-3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0.83519673470387212</v>
      </c>
      <c r="F18" s="48">
        <v>1.87787981283066E+28</v>
      </c>
      <c r="G18">
        <f t="shared" si="3"/>
        <v>-3.0195592951247505</v>
      </c>
      <c r="H18">
        <f t="shared" si="4"/>
        <v>9.1811068407938925E-4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0.96598663399891893</v>
      </c>
      <c r="F19">
        <f t="shared" si="2"/>
        <v>13991543.999999998</v>
      </c>
      <c r="G19">
        <f t="shared" si="3"/>
        <v>-2.769598712050918</v>
      </c>
      <c r="H19">
        <f t="shared" si="4"/>
        <v>1.2553613196597672E-3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0.99366551924217095</v>
      </c>
      <c r="F20">
        <f t="shared" si="2"/>
        <v>1</v>
      </c>
      <c r="G20">
        <f t="shared" si="3"/>
        <v>-4.4482400974743541E-2</v>
      </c>
      <c r="H20">
        <f t="shared" si="4"/>
        <v>4.0125646471306533E-5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-10.8391018247316</v>
      </c>
      <c r="H21">
        <f>SUM(H11:H20)</f>
        <v>5.053292483270481E-3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FD87-E57E-40CB-AFB5-16E8F517BFFB}">
  <sheetPr>
    <tabColor theme="4"/>
  </sheetPr>
  <dimension ref="A2:H20"/>
  <sheetViews>
    <sheetView zoomScale="68" zoomScaleNormal="68" workbookViewId="0">
      <selection activeCell="B7" sqref="B7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656</v>
      </c>
      <c r="B2" s="64"/>
    </row>
    <row r="3" spans="1:8" x14ac:dyDescent="0.3">
      <c r="A3" s="36" t="s">
        <v>653</v>
      </c>
      <c r="B3">
        <v>0.33601182765742355</v>
      </c>
    </row>
    <row r="4" spans="1:8" x14ac:dyDescent="0.3">
      <c r="A4" s="36" t="s">
        <v>654</v>
      </c>
      <c r="B4">
        <v>2.484733338505106</v>
      </c>
    </row>
    <row r="5" spans="1:8" x14ac:dyDescent="0.3">
      <c r="A5" s="14" t="s">
        <v>633</v>
      </c>
      <c r="B5">
        <v>53.970623897627277</v>
      </c>
    </row>
    <row r="6" spans="1:8" x14ac:dyDescent="0.3">
      <c r="A6" s="14" t="s">
        <v>655</v>
      </c>
      <c r="B6">
        <f>-G20</f>
        <v>6.0753663941766485</v>
      </c>
      <c r="C6" s="14" t="s">
        <v>652</v>
      </c>
      <c r="D6">
        <f>H20</f>
        <v>2.0755979174379682E-3</v>
      </c>
    </row>
    <row r="7" spans="1:8" x14ac:dyDescent="0.3">
      <c r="A7" s="30" t="s">
        <v>661</v>
      </c>
      <c r="B7">
        <f>(B6*2)+(B8*2)</f>
        <v>18.150732788353295</v>
      </c>
    </row>
    <row r="8" spans="1:8" x14ac:dyDescent="0.3">
      <c r="A8" s="30" t="s">
        <v>662</v>
      </c>
      <c r="B8">
        <v>3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(1-(1-$B$4)*EXP(-$B$3*(A11-$B$5)))^(1/(1-$B$4))</f>
        <v>1.9499348746807924E-4</v>
      </c>
      <c r="F11">
        <f>FACT(B11)/(FACT(B11-C11)*FACT(C11))</f>
        <v>1</v>
      </c>
      <c r="G11">
        <f>($C11*LN(E11/(1-E11))+($B11*LN(1-E11))+LN(F11))</f>
        <v>-9.7506250584957215E-4</v>
      </c>
      <c r="H11">
        <f>POWER((E11-D11),2)</f>
        <v>3.8022460154963979E-8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 t="shared" ref="E12:E19" si="1">(1-(1-$B$4)*EXP(-$B$3*(A12-$B$5)))^(1/(1-$B$4))</f>
        <v>1.3654061955088222E-3</v>
      </c>
      <c r="F12">
        <f t="shared" ref="F12:F19" si="2">FACT(B12)/(FACT(B12-C12)*FACT(C12))</f>
        <v>1</v>
      </c>
      <c r="G12">
        <f t="shared" ref="G12:G19" si="3">($C12*LN(E12/(1-E12))+($B12*LN(1-E12))+LN(F12))</f>
        <v>-2.7326784238850626E-3</v>
      </c>
      <c r="H12">
        <f t="shared" ref="H12:H19" si="4">POWER((E12-D12),2)</f>
        <v>1.8643340787338762E-6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si="1"/>
        <v>9.5552467497214064E-3</v>
      </c>
      <c r="F13">
        <f t="shared" si="2"/>
        <v>1</v>
      </c>
      <c r="G13">
        <f t="shared" si="3"/>
        <v>-0.24963096669653448</v>
      </c>
      <c r="H13">
        <f t="shared" si="4"/>
        <v>9.1302740448061495E-5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1"/>
        <v>6.615432412012634E-2</v>
      </c>
      <c r="F14">
        <f t="shared" si="2"/>
        <v>4495.0000000000009</v>
      </c>
      <c r="G14">
        <f t="shared" si="3"/>
        <v>-1.6530084619089127</v>
      </c>
      <c r="H14">
        <f t="shared" si="4"/>
        <v>9.375764038037376E-4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1"/>
        <v>0.38795562731707389</v>
      </c>
      <c r="F15">
        <f t="shared" si="2"/>
        <v>119032357903549.97</v>
      </c>
      <c r="G15">
        <f t="shared" si="3"/>
        <v>-2.2723221942399761</v>
      </c>
      <c r="H15">
        <f t="shared" si="4"/>
        <v>8.6818983619514742E-4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1"/>
        <v>0.89904938919254918</v>
      </c>
      <c r="F16">
        <f t="shared" si="2"/>
        <v>3819816.0000000005</v>
      </c>
      <c r="G16">
        <f t="shared" si="3"/>
        <v>-1.7371893192921775</v>
      </c>
      <c r="H16">
        <f t="shared" si="4"/>
        <v>1.3606981086282085E-4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1"/>
        <v>0.99364157700131028</v>
      </c>
      <c r="F17">
        <f t="shared" si="2"/>
        <v>1</v>
      </c>
      <c r="G17">
        <f t="shared" si="3"/>
        <v>-0.15946809675774887</v>
      </c>
      <c r="H17">
        <f t="shared" si="4"/>
        <v>4.0429543030266331E-5</v>
      </c>
    </row>
    <row r="18" spans="1:8" x14ac:dyDescent="0.3">
      <c r="A18" s="16">
        <v>77.600000000000023</v>
      </c>
      <c r="B18">
        <v>0</v>
      </c>
      <c r="C18">
        <v>0</v>
      </c>
      <c r="D18" s="48">
        <v>1</v>
      </c>
      <c r="E18">
        <f t="shared" si="1"/>
        <v>0.99964386204554456</v>
      </c>
      <c r="F18">
        <f t="shared" si="2"/>
        <v>1</v>
      </c>
      <c r="G18">
        <f t="shared" si="3"/>
        <v>0</v>
      </c>
      <c r="H18">
        <f t="shared" si="4"/>
        <v>1.2683424260370342E-7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1"/>
        <v>0.99998019302037777</v>
      </c>
      <c r="F19">
        <f t="shared" si="2"/>
        <v>1</v>
      </c>
      <c r="G19">
        <f t="shared" si="3"/>
        <v>-3.9614351564409844E-5</v>
      </c>
      <c r="H19">
        <f t="shared" si="4"/>
        <v>3.9231644175534618E-10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-6.0753663941766485</v>
      </c>
      <c r="H20">
        <f>SUM(H11:H19)</f>
        <v>2.0755979174379682E-3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5FA2-85E3-4706-B37E-BE9F471DF8C9}">
  <sheetPr>
    <tabColor theme="6"/>
  </sheetPr>
  <dimension ref="A2:H21"/>
  <sheetViews>
    <sheetView zoomScale="68" zoomScaleNormal="68" workbookViewId="0">
      <selection activeCell="B7" sqref="B7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653</v>
      </c>
      <c r="B3">
        <v>0.2024331016686495</v>
      </c>
    </row>
    <row r="4" spans="1:8" x14ac:dyDescent="0.3">
      <c r="A4" s="14" t="s">
        <v>633</v>
      </c>
      <c r="B4">
        <v>61.498518361078233</v>
      </c>
    </row>
    <row r="5" spans="1:8" x14ac:dyDescent="0.3">
      <c r="A5" s="14" t="s">
        <v>655</v>
      </c>
      <c r="B5">
        <f>-G21</f>
        <v>10.939368494595657</v>
      </c>
    </row>
    <row r="6" spans="1:8" x14ac:dyDescent="0.3">
      <c r="A6" s="14" t="s">
        <v>652</v>
      </c>
      <c r="B6">
        <f>H21</f>
        <v>3.7039985979123867E-3</v>
      </c>
    </row>
    <row r="7" spans="1:8" x14ac:dyDescent="0.3">
      <c r="A7" s="30" t="s">
        <v>661</v>
      </c>
      <c r="B7">
        <f>(B5*2)+(B8*2)</f>
        <v>25.878736989191314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1/(1+EXP(-$B$3*(A11-$B$4)))</f>
        <v>3.253703019346515E-4</v>
      </c>
      <c r="F11">
        <f>FACT(B11)/(FACT(B11-C11)*FACT(C11))</f>
        <v>1</v>
      </c>
      <c r="G11">
        <f>($C11*LN(E11/(1-E11))+($B11*LN(1-E11))+LN(F11))</f>
        <v>-9.7626973900815056E-4</v>
      </c>
      <c r="H11">
        <f>POWER((E11-D11),2)</f>
        <v>1.0586583338104629E-7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 t="shared" ref="E12:E20" si="1">1/(1+EXP(-$B$3*(A12-$B$4)))</f>
        <v>1.2441102897904376E-3</v>
      </c>
      <c r="F12">
        <f t="shared" ref="F12:F20" si="2">FACT(B12)/(FACT(B12-C12)*FACT(C12))</f>
        <v>1</v>
      </c>
      <c r="G12">
        <f>($C12*LN(E12/(1-E12))+($B12*LN(1-E12))+LN(F12))</f>
        <v>-1.2448848374788288E-3</v>
      </c>
      <c r="H12">
        <f t="shared" ref="H12:H20" si="3">POWER((E12-D12),2)</f>
        <v>1.5478104131624467E-6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si="1"/>
        <v>4.7447604407912835E-3</v>
      </c>
      <c r="F13">
        <f t="shared" si="2"/>
        <v>1</v>
      </c>
      <c r="G13">
        <f t="shared" ref="G13:G20" si="4">($C13*LN(E13/(1-E13))+($B13*LN(1-E13))+LN(F13))</f>
        <v>-4.7560525496715463E-3</v>
      </c>
      <c r="H13">
        <f t="shared" si="3"/>
        <v>2.2512751640497893E-5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1"/>
        <v>1.791874252708741E-2</v>
      </c>
      <c r="F14">
        <f t="shared" si="2"/>
        <v>1</v>
      </c>
      <c r="G14">
        <f t="shared" si="4"/>
        <v>-7.2324908534328713E-2</v>
      </c>
      <c r="H14">
        <f t="shared" si="3"/>
        <v>3.2108133375205087E-4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1"/>
        <v>6.5271821210029113E-2</v>
      </c>
      <c r="F15">
        <f t="shared" si="2"/>
        <v>24.999999999999996</v>
      </c>
      <c r="G15">
        <f t="shared" si="4"/>
        <v>-1.1303072751063401</v>
      </c>
      <c r="H15">
        <f t="shared" si="3"/>
        <v>6.3866494727167727E-4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1"/>
        <v>0.21089085994807444</v>
      </c>
      <c r="F16">
        <f t="shared" si="2"/>
        <v>211915132</v>
      </c>
      <c r="G16">
        <f t="shared" si="4"/>
        <v>-1.9415535643039483</v>
      </c>
      <c r="H16">
        <f t="shared" si="3"/>
        <v>3.9514962650339991E-4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1"/>
        <v>0.50564165404950712</v>
      </c>
      <c r="F17">
        <f t="shared" si="2"/>
        <v>1877405874732107</v>
      </c>
      <c r="G17">
        <f t="shared" si="4"/>
        <v>-2.2872856301310094</v>
      </c>
      <c r="H17">
        <f t="shared" si="3"/>
        <v>5.8371393851677973E-4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1"/>
        <v>0.79652235318158637</v>
      </c>
      <c r="F18">
        <f t="shared" si="2"/>
        <v>3.5797471298556348E+28</v>
      </c>
      <c r="G18">
        <f t="shared" si="4"/>
        <v>-2.7220126569249317</v>
      </c>
      <c r="H18">
        <f t="shared" si="3"/>
        <v>5.8405848551584978E-4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>
        <f t="shared" si="1"/>
        <v>0.93742849511251425</v>
      </c>
      <c r="F19">
        <f t="shared" si="2"/>
        <v>58433559569.999947</v>
      </c>
      <c r="G19">
        <f t="shared" si="4"/>
        <v>-2.4849750502721264</v>
      </c>
      <c r="H19">
        <f t="shared" si="3"/>
        <v>8.6333236995676766E-4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>
        <f t="shared" si="1"/>
        <v>0.98285848698309219</v>
      </c>
      <c r="F20">
        <f t="shared" si="2"/>
        <v>1</v>
      </c>
      <c r="G20">
        <f t="shared" si="4"/>
        <v>-0.29393220219681382</v>
      </c>
      <c r="H20">
        <f t="shared" si="3"/>
        <v>2.9383146850881972E-4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-10.939368494595657</v>
      </c>
      <c r="H21">
        <f>SUM(H11:H20)</f>
        <v>3.7039985979123867E-3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C165-A00E-449C-B967-A62AD5704578}">
  <sheetPr>
    <tabColor theme="6"/>
  </sheetPr>
  <dimension ref="A2:H20"/>
  <sheetViews>
    <sheetView zoomScale="124" zoomScaleNormal="124" workbookViewId="0">
      <selection activeCell="B7" sqref="B7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653</v>
      </c>
      <c r="B3">
        <v>0.19603981642457566</v>
      </c>
    </row>
    <row r="4" spans="1:8" x14ac:dyDescent="0.3">
      <c r="A4" s="14" t="s">
        <v>633</v>
      </c>
      <c r="B4">
        <v>76.439792381907296</v>
      </c>
    </row>
    <row r="5" spans="1:8" x14ac:dyDescent="0.3">
      <c r="A5" s="14" t="s">
        <v>655</v>
      </c>
      <c r="B5">
        <f>-G20</f>
        <v>7.3377410790948279</v>
      </c>
    </row>
    <row r="6" spans="1:8" x14ac:dyDescent="0.3">
      <c r="A6" s="14" t="s">
        <v>652</v>
      </c>
      <c r="B6">
        <f>H20</f>
        <v>1.9668375844673776E-3</v>
      </c>
    </row>
    <row r="7" spans="1:8" x14ac:dyDescent="0.3">
      <c r="A7" s="30" t="s">
        <v>661</v>
      </c>
      <c r="B7">
        <f>(B5*2)+(B8*2)</f>
        <v>18.675482158189656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1/(1+EXP(-$B$3*(A11-$B$4)))</f>
        <v>3.2767851378930246E-5</v>
      </c>
      <c r="F11">
        <f>FACT(B11)/(FACT(B11-C11)*FACT(C11))</f>
        <v>1</v>
      </c>
      <c r="G11">
        <f>($C11*LN(E11/(1-E11))+($B11*LN(1-E11))+LN(F11))</f>
        <v>-1.6384194128363341E-4</v>
      </c>
      <c r="H11">
        <f>POWER((E11-D11),2)</f>
        <v>1.0737320839916609E-9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1/(1+EXP(-$B$3*(A12-$B$4)))</f>
        <v>2.6000685995904225E-4</v>
      </c>
      <c r="F12">
        <f t="shared" ref="F12:F19" si="2">FACT(B12)/(FACT(B12-C12)*FACT(C12))</f>
        <v>1</v>
      </c>
      <c r="G12">
        <f t="shared" ref="G12:G19" si="3">($C12*LN(E12/(1-E12))+($B12*LN(1-E12))+LN(F12))</f>
        <v>-2.6004066760296934E-4</v>
      </c>
      <c r="H12">
        <f t="shared" ref="H12:H19" si="4">POWER((E12-D12),2)</f>
        <v>6.7603567225761007E-8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2.0598603424809461E-3</v>
      </c>
      <c r="F13">
        <f t="shared" si="2"/>
        <v>1</v>
      </c>
      <c r="G13">
        <f t="shared" si="3"/>
        <v>-2.6805802044456761E-2</v>
      </c>
      <c r="H13">
        <f t="shared" si="4"/>
        <v>4.2430246305257208E-6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1.6118025312808877E-2</v>
      </c>
      <c r="F14">
        <f t="shared" si="2"/>
        <v>19</v>
      </c>
      <c r="G14">
        <f t="shared" si="3"/>
        <v>-1.4758660732990556</v>
      </c>
      <c r="H14">
        <f t="shared" si="4"/>
        <v>1.3332395990238563E-3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0.11505855344965162</v>
      </c>
      <c r="F15">
        <f t="shared" si="2"/>
        <v>4495.0000000000009</v>
      </c>
      <c r="G15">
        <f t="shared" si="3"/>
        <v>-1.4987677634747278</v>
      </c>
      <c r="H15">
        <f t="shared" si="4"/>
        <v>3.3431781699896993E-4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0.50785112265577337</v>
      </c>
      <c r="F16">
        <f t="shared" si="2"/>
        <v>1.1826458156486139E+17</v>
      </c>
      <c r="G16">
        <f t="shared" si="3"/>
        <v>-2.2845278348513531</v>
      </c>
      <c r="H16">
        <f t="shared" si="4"/>
        <v>6.1640126955997865E-5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0.89118418738834282</v>
      </c>
      <c r="F17">
        <f t="shared" si="2"/>
        <v>1370754.0000000005</v>
      </c>
      <c r="G17">
        <f t="shared" si="3"/>
        <v>-1.6829918556400543</v>
      </c>
      <c r="H17">
        <f t="shared" si="4"/>
        <v>1.4438530798853495E-8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0.98484840410936614</v>
      </c>
      <c r="F18">
        <f t="shared" si="2"/>
        <v>1</v>
      </c>
      <c r="G18">
        <f t="shared" si="3"/>
        <v>-0.36642129868920392</v>
      </c>
      <c r="H18">
        <f t="shared" si="4"/>
        <v>2.2957085803307294E-4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0.99806530545179706</v>
      </c>
      <c r="F19">
        <f t="shared" si="2"/>
        <v>1</v>
      </c>
      <c r="G19">
        <f t="shared" si="3"/>
        <v>-1.9365684870900068E-3</v>
      </c>
      <c r="H19">
        <f t="shared" si="4"/>
        <v>3.7430429948461862E-6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-7.3377410790948279</v>
      </c>
      <c r="H20">
        <f>SUM(H11:H19)</f>
        <v>1.9668375844673776E-3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198C-451E-4B2E-AFE7-B2EFF84ABBCC}">
  <sheetPr>
    <tabColor theme="6"/>
  </sheetPr>
  <dimension ref="A2:H21"/>
  <sheetViews>
    <sheetView zoomScale="64" zoomScaleNormal="64" workbookViewId="0">
      <selection activeCell="T33" sqref="T33"/>
    </sheetView>
  </sheetViews>
  <sheetFormatPr baseColWidth="10" defaultRowHeight="13" x14ac:dyDescent="0.3"/>
  <cols>
    <col min="2" max="2" width="17.796875" customWidth="1"/>
    <col min="3" max="3" width="15.296875" customWidth="1"/>
    <col min="4" max="4" width="19.796875" customWidth="1"/>
    <col min="5" max="5" width="11.8984375" bestFit="1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653</v>
      </c>
      <c r="B3">
        <v>0.38460254734012611</v>
      </c>
    </row>
    <row r="4" spans="1:8" x14ac:dyDescent="0.3">
      <c r="A4" s="14" t="s">
        <v>633</v>
      </c>
      <c r="B4">
        <v>42.923070452950284</v>
      </c>
    </row>
    <row r="5" spans="1:8" x14ac:dyDescent="0.3">
      <c r="A5" s="14" t="s">
        <v>655</v>
      </c>
      <c r="B5">
        <f>-G21</f>
        <v>10.955495536514523</v>
      </c>
    </row>
    <row r="6" spans="1:8" x14ac:dyDescent="0.3">
      <c r="A6" s="14" t="s">
        <v>652</v>
      </c>
      <c r="B6">
        <f>H21</f>
        <v>4.8064987409604113E-3</v>
      </c>
    </row>
    <row r="7" spans="1:8" x14ac:dyDescent="0.3">
      <c r="A7" s="30" t="s">
        <v>661</v>
      </c>
      <c r="B7">
        <f>(B5*2)+(B8*2)</f>
        <v>25.910991073029045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1/(1+EXP(-$B$3*(A11-$B$4)))</f>
        <v>1.3320529101409422E-5</v>
      </c>
      <c r="F11">
        <f>FACT(B11)/(FACT(B11-C11)*FACT(C11))</f>
        <v>1</v>
      </c>
      <c r="G11">
        <f>($C11*LN(E11/(1-E11))+($B11*LN(1-E11))+LN(F11))</f>
        <v>-3.9961853461344924E-5</v>
      </c>
      <c r="H11">
        <f>POWER((E11-D11),2)</f>
        <v>1.7743649554149531E-10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1/(1+EXP(-$B$3*(A12-$B$4)))</f>
        <v>8.3540264441927357E-5</v>
      </c>
      <c r="F12">
        <f t="shared" ref="F12:F20" si="2">FACT(B12)/(FACT(B12-C12)*FACT(C12))</f>
        <v>1</v>
      </c>
      <c r="G12">
        <f t="shared" ref="G12:G20" si="3">($C12*LN(E12/(1-E12))+($B12*LN(1-E12))+LN(F12))</f>
        <v>-8.3543754124151386E-5</v>
      </c>
      <c r="H12">
        <f t="shared" ref="H12:H20" si="4">POWER((E12-D12),2)</f>
        <v>6.9789757830271527E-9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5.2373244858941611E-4</v>
      </c>
      <c r="F13">
        <f t="shared" si="2"/>
        <v>1</v>
      </c>
      <c r="G13">
        <f t="shared" si="3"/>
        <v>0</v>
      </c>
      <c r="H13">
        <f t="shared" si="4"/>
        <v>2.7429567770546537E-7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3.2757961473745345E-3</v>
      </c>
      <c r="F14">
        <f t="shared" si="2"/>
        <v>1</v>
      </c>
      <c r="G14">
        <f t="shared" si="3"/>
        <v>-9.8435199413580126E-3</v>
      </c>
      <c r="H14">
        <f t="shared" si="4"/>
        <v>1.0730840399153843E-5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2.0196937582064315E-2</v>
      </c>
      <c r="F15">
        <f t="shared" si="2"/>
        <v>35.000000000000007</v>
      </c>
      <c r="G15">
        <f t="shared" si="3"/>
        <v>-1.0406014931932557</v>
      </c>
      <c r="H15">
        <f t="shared" si="4"/>
        <v>7.0132099330943101E-5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0.11448475070414665</v>
      </c>
      <c r="F16">
        <f t="shared" si="2"/>
        <v>325.00000000000006</v>
      </c>
      <c r="G16">
        <f t="shared" si="3"/>
        <v>-1.4688565296920366</v>
      </c>
      <c r="H16">
        <f t="shared" si="4"/>
        <v>1.4108793372355009E-3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0.4477822236154223</v>
      </c>
      <c r="F17">
        <f t="shared" si="2"/>
        <v>1866442158555973.3</v>
      </c>
      <c r="G17">
        <f t="shared" si="3"/>
        <v>-2.3185090671954924</v>
      </c>
      <c r="H17">
        <f t="shared" si="4"/>
        <v>8.7618400183374205E-4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0.83568371551590825</v>
      </c>
      <c r="F18" s="48">
        <v>1.87787981283066E+28</v>
      </c>
      <c r="G18">
        <f t="shared" si="3"/>
        <v>-3.001353433234911</v>
      </c>
      <c r="H18">
        <f t="shared" si="4"/>
        <v>8.8883646474917746E-4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0.96960320180942861</v>
      </c>
      <c r="F19">
        <f t="shared" si="2"/>
        <v>13991543.999999998</v>
      </c>
      <c r="G19">
        <f t="shared" si="3"/>
        <v>-3.0813065077939079</v>
      </c>
      <c r="H19">
        <f t="shared" si="4"/>
        <v>1.5247186779676041E-3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0.99502648340162558</v>
      </c>
      <c r="F20">
        <f t="shared" si="2"/>
        <v>1</v>
      </c>
      <c r="G20">
        <f t="shared" si="3"/>
        <v>-3.4901479855975026E-2</v>
      </c>
      <c r="H20">
        <f t="shared" si="4"/>
        <v>2.4735867354305829E-5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-10.955495536514523</v>
      </c>
      <c r="H21">
        <f>SUM(H11:H20)</f>
        <v>4.8064987409604113E-3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FA95-7D3A-4A1C-99FA-764C3C56AB8E}">
  <sheetPr>
    <tabColor theme="6"/>
  </sheetPr>
  <dimension ref="A2:H20"/>
  <sheetViews>
    <sheetView zoomScale="65" zoomScaleNormal="65" workbookViewId="0">
      <selection activeCell="B7" sqref="B7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653</v>
      </c>
      <c r="B3">
        <v>0.29682316484402838</v>
      </c>
    </row>
    <row r="4" spans="1:8" x14ac:dyDescent="0.3">
      <c r="A4" s="14" t="s">
        <v>633</v>
      </c>
      <c r="B4" s="15">
        <v>53.123784387427456</v>
      </c>
    </row>
    <row r="5" spans="1:8" x14ac:dyDescent="0.3">
      <c r="A5" s="14" t="s">
        <v>655</v>
      </c>
      <c r="B5">
        <f>-G20</f>
        <v>6.4974629329522386</v>
      </c>
    </row>
    <row r="6" spans="1:8" x14ac:dyDescent="0.3">
      <c r="A6" s="14" t="s">
        <v>652</v>
      </c>
      <c r="B6">
        <f>H20</f>
        <v>4.4715617675517554E-3</v>
      </c>
    </row>
    <row r="7" spans="1:8" x14ac:dyDescent="0.3">
      <c r="A7" s="30" t="s">
        <v>661</v>
      </c>
      <c r="B7">
        <f>(B5*2)+(B8*2)</f>
        <v>16.994925865904477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1/(1+EXP(-$B$3*(A11-$B$4)))</f>
        <v>2.4824696663845832E-5</v>
      </c>
      <c r="F11">
        <f>FACT(B11)/(FACT(B11-C11)*FACT(C11))</f>
        <v>1</v>
      </c>
      <c r="G11">
        <f>($C11*LN(E11/(1-E11))+($B11*LN(1-E11))+LN(F11))</f>
        <v>-1.2412502400876979E-4</v>
      </c>
      <c r="H11">
        <f>POWER((E11-D11),2)</f>
        <v>6.1626556445195839E-10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>1/(1+EXP(-$B$3*(A12-$B$4)))</f>
        <v>3.1869173608504113E-4</v>
      </c>
      <c r="F12">
        <f t="shared" ref="F12:F19" si="1">FACT(B12)/(FACT(B12-C12)*FACT(C12))</f>
        <v>1</v>
      </c>
      <c r="G12">
        <f t="shared" ref="G12:G19" si="2">($C12*LN(E12/(1-E12))+($B12*LN(1-E12))+LN(F12))</f>
        <v>-6.3748505817631937E-4</v>
      </c>
      <c r="H12">
        <f t="shared" ref="H12:H19" si="3">POWER((E12-D12),2)</f>
        <v>1.0156442264889751E-7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ref="E13:E19" si="4">1/(1+EXP(-$B$3*(A13-$B$4)))</f>
        <v>4.0770820803805279E-3</v>
      </c>
      <c r="F13">
        <f t="shared" si="1"/>
        <v>1</v>
      </c>
      <c r="G13">
        <f t="shared" si="2"/>
        <v>-0.10622081702427552</v>
      </c>
      <c r="H13">
        <f t="shared" si="3"/>
        <v>1.6622598290160013E-5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4"/>
        <v>4.9944449034541989E-2</v>
      </c>
      <c r="F14">
        <f t="shared" si="1"/>
        <v>4495.0000000000009</v>
      </c>
      <c r="G14">
        <f t="shared" si="2"/>
        <v>-2.0143857837082546</v>
      </c>
      <c r="H14">
        <f t="shared" si="3"/>
        <v>2.1930249712320059E-3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4"/>
        <v>0.40301219321147985</v>
      </c>
      <c r="F15">
        <f t="shared" si="1"/>
        <v>119032357903549.97</v>
      </c>
      <c r="G15">
        <f t="shared" si="2"/>
        <v>-2.3957563369764614</v>
      </c>
      <c r="H15">
        <f t="shared" si="3"/>
        <v>1.9821752861978624E-3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4"/>
        <v>0.89657630842010361</v>
      </c>
      <c r="F16">
        <f t="shared" si="1"/>
        <v>3819816.0000000005</v>
      </c>
      <c r="G16">
        <f t="shared" si="2"/>
        <v>-1.7566587181792741</v>
      </c>
      <c r="H16">
        <f t="shared" si="3"/>
        <v>1.9988240197080836E-4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4"/>
        <v>0.99109703928312931</v>
      </c>
      <c r="F17">
        <f t="shared" si="1"/>
        <v>1</v>
      </c>
      <c r="G17">
        <f t="shared" si="2"/>
        <v>-0.22357072194526495</v>
      </c>
      <c r="H17">
        <f t="shared" si="3"/>
        <v>7.9262709526142661E-5</v>
      </c>
    </row>
    <row r="18" spans="1:8" x14ac:dyDescent="0.3">
      <c r="A18" s="16">
        <v>77.600000000000023</v>
      </c>
      <c r="B18">
        <v>0</v>
      </c>
      <c r="C18">
        <v>0</v>
      </c>
      <c r="D18">
        <v>1</v>
      </c>
      <c r="E18">
        <f t="shared" si="4"/>
        <v>0.9993009631247598</v>
      </c>
      <c r="F18">
        <f t="shared" si="1"/>
        <v>1</v>
      </c>
      <c r="G18">
        <f t="shared" si="2"/>
        <v>0</v>
      </c>
      <c r="H18">
        <f t="shared" si="3"/>
        <v>4.8865255294558271E-7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4"/>
        <v>0.99994552896533995</v>
      </c>
      <c r="F19">
        <f t="shared" si="1"/>
        <v>1</v>
      </c>
      <c r="G19">
        <f t="shared" si="2"/>
        <v>-1.0894503652281173E-4</v>
      </c>
      <c r="H19">
        <f t="shared" si="3"/>
        <v>2.9670936169366937E-9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-6.4974629329522386</v>
      </c>
      <c r="H20">
        <f>SUM(H11:H19)</f>
        <v>4.4715617675517554E-3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1259-8471-4D82-8528-1639BC3DF0CE}">
  <sheetPr>
    <tabColor rgb="FFFF0000"/>
  </sheetPr>
  <dimension ref="A2:H21"/>
  <sheetViews>
    <sheetView zoomScale="93" zoomScaleNormal="93" workbookViewId="0">
      <selection activeCell="B5" sqref="B5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658</v>
      </c>
      <c r="B2" s="64"/>
    </row>
    <row r="3" spans="1:8" x14ac:dyDescent="0.3">
      <c r="A3" s="14" t="s">
        <v>659</v>
      </c>
      <c r="B3">
        <v>76.043734770224333</v>
      </c>
    </row>
    <row r="4" spans="1:8" x14ac:dyDescent="0.3">
      <c r="A4" s="14" t="s">
        <v>633</v>
      </c>
      <c r="B4">
        <v>61.498566527800406</v>
      </c>
    </row>
    <row r="5" spans="1:8" x14ac:dyDescent="0.3">
      <c r="A5" s="14" t="s">
        <v>655</v>
      </c>
      <c r="B5">
        <f>-G21</f>
        <v>10.939368490124838</v>
      </c>
    </row>
    <row r="6" spans="1:8" x14ac:dyDescent="0.3">
      <c r="A6" s="14" t="s">
        <v>652</v>
      </c>
      <c r="B6">
        <f>H21</f>
        <v>3.7039271959444391E-3</v>
      </c>
    </row>
    <row r="7" spans="1:8" x14ac:dyDescent="0.3">
      <c r="A7" s="30" t="s">
        <v>661</v>
      </c>
      <c r="B7">
        <f>(B5*2)+(B8*2)</f>
        <v>25.878736980249677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1/(1+EXP(-LN(19)*(A11-$B$4)/($B$3-$B$4)))</f>
        <v>3.2535341872750017E-4</v>
      </c>
      <c r="F11">
        <f>FACT(B11)/(FACT(B11-C11)*FACT(C11))</f>
        <v>1</v>
      </c>
      <c r="G11">
        <f>($C11*LN(E11/(1-E11))+($B11*LN(1-E11))+LN(F11))</f>
        <v>-9.7621907290183503E-4</v>
      </c>
      <c r="H11">
        <f>POWER((E11-D11),2)</f>
        <v>1.0585484707767205E-7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 t="shared" ref="E12:E20" si="1">1/(1+EXP(-LN(19)*(A12-$B$4)/($B$3-$B$4)))</f>
        <v>1.2440545477529609E-3</v>
      </c>
      <c r="F12">
        <f t="shared" ref="F12:F20" si="2">FACT(B12)/(FACT(B12-C12)*FACT(C12))</f>
        <v>1</v>
      </c>
      <c r="G12">
        <f t="shared" ref="G12:G20" si="3">($C12*LN(E12/(1-E12))+($B12*LN(1-E12))+LN(F12))</f>
        <v>-1.244829026007328E-3</v>
      </c>
      <c r="H12">
        <f t="shared" ref="H12:H20" si="4">POWER((E12-D12),2)</f>
        <v>1.5476717177848241E-6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si="1"/>
        <v>4.7445818691900206E-3</v>
      </c>
      <c r="F13">
        <f t="shared" si="2"/>
        <v>1</v>
      </c>
      <c r="G13">
        <f t="shared" si="3"/>
        <v>-4.755873126767585E-3</v>
      </c>
      <c r="H13">
        <f t="shared" si="4"/>
        <v>2.2511057113446671E-5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1"/>
        <v>1.79182010589727E-2</v>
      </c>
      <c r="F14">
        <f t="shared" si="2"/>
        <v>1</v>
      </c>
      <c r="G14">
        <f t="shared" si="3"/>
        <v>-7.2322703144657371E-2</v>
      </c>
      <c r="H14">
        <f t="shared" si="4"/>
        <v>3.2106192918977041E-4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1"/>
        <v>6.5270373796891462E-2</v>
      </c>
      <c r="F15">
        <f t="shared" si="2"/>
        <v>24.999999999999996</v>
      </c>
      <c r="G15">
        <f t="shared" si="3"/>
        <v>-1.1302922868871561</v>
      </c>
      <c r="H15">
        <f t="shared" si="4"/>
        <v>6.3859179183461858E-4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1"/>
        <v>0.21088808447643673</v>
      </c>
      <c r="F16">
        <f t="shared" si="2"/>
        <v>211915132</v>
      </c>
      <c r="G16">
        <f t="shared" si="3"/>
        <v>-1.9415664949364491</v>
      </c>
      <c r="H16">
        <f t="shared" si="4"/>
        <v>3.9525997791547881E-4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1"/>
        <v>0.5056392463270809</v>
      </c>
      <c r="F17">
        <f t="shared" si="2"/>
        <v>1877405874732107</v>
      </c>
      <c r="G17">
        <f t="shared" si="3"/>
        <v>-2.2872730642242871</v>
      </c>
      <c r="H17">
        <f t="shared" si="4"/>
        <v>5.8359760233528065E-4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1"/>
        <v>0.79652193401973204</v>
      </c>
      <c r="F18">
        <f t="shared" si="2"/>
        <v>3.5797471298556348E+28</v>
      </c>
      <c r="G18">
        <f t="shared" si="3"/>
        <v>-2.7220217198143928</v>
      </c>
      <c r="H18">
        <f t="shared" si="4"/>
        <v>5.8407874571378003E-4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>
        <f t="shared" si="1"/>
        <v>0.93742875669922487</v>
      </c>
      <c r="F19">
        <f t="shared" si="2"/>
        <v>58433559569.999947</v>
      </c>
      <c r="G19">
        <f t="shared" si="3"/>
        <v>-2.484986450458976</v>
      </c>
      <c r="H19">
        <f t="shared" si="4"/>
        <v>8.633477421777151E-4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>
        <f t="shared" si="1"/>
        <v>0.98285868082382555</v>
      </c>
      <c r="F20">
        <f t="shared" si="2"/>
        <v>1</v>
      </c>
      <c r="G20">
        <f t="shared" si="3"/>
        <v>-0.29392884943324304</v>
      </c>
      <c r="H20">
        <f t="shared" si="4"/>
        <v>2.9382482309948601E-4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-10.939368490124838</v>
      </c>
      <c r="H21">
        <f>SUM(H11:H20)</f>
        <v>3.7039271959444391E-3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435-5934-4EE2-8404-BE615CBACBB7}">
  <sheetPr>
    <tabColor rgb="FFFF0000"/>
  </sheetPr>
  <dimension ref="A2:H20"/>
  <sheetViews>
    <sheetView zoomScale="89" zoomScaleNormal="89" workbookViewId="0">
      <selection activeCell="I10" sqref="I10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658</v>
      </c>
      <c r="B2" s="64"/>
    </row>
    <row r="3" spans="1:8" x14ac:dyDescent="0.3">
      <c r="A3" s="14" t="s">
        <v>659</v>
      </c>
      <c r="B3">
        <v>91.459385129432846</v>
      </c>
    </row>
    <row r="4" spans="1:8" x14ac:dyDescent="0.3">
      <c r="A4" s="14" t="s">
        <v>633</v>
      </c>
      <c r="B4">
        <v>76.439792918188772</v>
      </c>
    </row>
    <row r="5" spans="1:8" x14ac:dyDescent="0.3">
      <c r="A5" s="14" t="s">
        <v>655</v>
      </c>
      <c r="B5">
        <f>-G20</f>
        <v>7.3377410790120905</v>
      </c>
    </row>
    <row r="6" spans="1:8" x14ac:dyDescent="0.3">
      <c r="A6" s="14" t="s">
        <v>652</v>
      </c>
      <c r="B6">
        <f>H20</f>
        <v>1.9668355341174917E-3</v>
      </c>
    </row>
    <row r="7" spans="1:8" x14ac:dyDescent="0.3">
      <c r="A7" s="30" t="s">
        <v>661</v>
      </c>
      <c r="B7">
        <f>(B5*2)+(B8*2)</f>
        <v>18.675482158024181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1/(1+EXP(-LN(19)*(A11-$B$4)/($B$3-$B$4)))</f>
        <v>3.2767746892034257E-5</v>
      </c>
      <c r="F11">
        <f>FACT(B11)/(FACT(B11-C11)*FACT(C11))</f>
        <v>1</v>
      </c>
      <c r="G11">
        <f>($C11*LN(E11/(1-E11))+($B11*LN(1-E11))+LN(F11))</f>
        <v>-1.6384141883164069E-4</v>
      </c>
      <c r="H11">
        <f>POWER((E11-D11),2)</f>
        <v>1.0737252363804207E-9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1/(1+EXP(-LN(19)*(A12-$B$4)/($B$3-$B$4)))</f>
        <v>2.6000619186414796E-4</v>
      </c>
      <c r="F12">
        <f t="shared" ref="F12:F19" si="2">FACT(B12)/(FACT(B12-C12)*FACT(C12))</f>
        <v>1</v>
      </c>
      <c r="G12">
        <f t="shared" ref="G12:G19" si="3">($C12*LN(E12/(1-E12))+($B12*LN(1-E12))+LN(F12))</f>
        <v>-2.6003999933430242E-4</v>
      </c>
      <c r="H12">
        <f t="shared" ref="H12:H19" si="4">POWER((E12-D12),2)</f>
        <v>6.7603219807696115E-8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2.0598563307667682E-3</v>
      </c>
      <c r="F13">
        <f t="shared" si="2"/>
        <v>1</v>
      </c>
      <c r="G13">
        <f t="shared" si="3"/>
        <v>-2.6805749784524328E-2</v>
      </c>
      <c r="H13">
        <f t="shared" si="4"/>
        <v>4.2430081033999335E-6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1.6118004174169032E-2</v>
      </c>
      <c r="F14">
        <f t="shared" si="2"/>
        <v>19</v>
      </c>
      <c r="G14">
        <f t="shared" si="3"/>
        <v>-1.47586699806177</v>
      </c>
      <c r="H14">
        <f t="shared" si="4"/>
        <v>1.3332411427180227E-3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0.11505848071297457</v>
      </c>
      <c r="F15">
        <f t="shared" si="2"/>
        <v>4495.0000000000009</v>
      </c>
      <c r="G15">
        <f t="shared" si="3"/>
        <v>-1.4987673585626577</v>
      </c>
      <c r="H15">
        <f t="shared" si="4"/>
        <v>3.3431515711709843E-4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0.50785109872332301</v>
      </c>
      <c r="F16">
        <f t="shared" si="2"/>
        <v>1.1826458156486139E+17</v>
      </c>
      <c r="G16">
        <f t="shared" si="3"/>
        <v>-2.2845277897451197</v>
      </c>
      <c r="H16">
        <f t="shared" si="4"/>
        <v>6.1639751163364254E-5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0.89118423809246261</v>
      </c>
      <c r="F17">
        <f t="shared" si="2"/>
        <v>1370754.0000000005</v>
      </c>
      <c r="G17">
        <f t="shared" si="3"/>
        <v>-1.682991852750618</v>
      </c>
      <c r="H17">
        <f t="shared" si="4"/>
        <v>1.4426348111302061E-8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0.98484842114239546</v>
      </c>
      <c r="F18">
        <f t="shared" si="2"/>
        <v>1</v>
      </c>
      <c r="G18">
        <f t="shared" si="3"/>
        <v>-0.36642088360736125</v>
      </c>
      <c r="H18">
        <f t="shared" si="4"/>
        <v>2.2957034187820894E-4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0.99806530885042544</v>
      </c>
      <c r="F19">
        <f t="shared" si="2"/>
        <v>1</v>
      </c>
      <c r="G19">
        <f t="shared" si="3"/>
        <v>-1.9365650818734537E-3</v>
      </c>
      <c r="H19">
        <f t="shared" si="4"/>
        <v>3.7430298442421454E-6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-7.3377410790120905</v>
      </c>
      <c r="H20">
        <f>SUM(H11:H19)</f>
        <v>1.9668355341174917E-3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4916-E599-4257-AF15-AAAF3723D3E2}">
  <sheetPr>
    <tabColor rgb="FFFF0000"/>
  </sheetPr>
  <dimension ref="A2:H21"/>
  <sheetViews>
    <sheetView zoomScale="80" zoomScaleNormal="80" workbookViewId="0">
      <selection activeCell="B4" sqref="B4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659</v>
      </c>
      <c r="B3">
        <v>50.57880064763205</v>
      </c>
    </row>
    <row r="4" spans="1:8" x14ac:dyDescent="0.3">
      <c r="A4" s="14" t="s">
        <v>633</v>
      </c>
      <c r="B4">
        <v>42.923079935268291</v>
      </c>
    </row>
    <row r="5" spans="1:8" x14ac:dyDescent="0.3">
      <c r="A5" s="14" t="s">
        <v>655</v>
      </c>
      <c r="B5">
        <f>-G21</f>
        <v>10.955495537437928</v>
      </c>
    </row>
    <row r="6" spans="1:8" x14ac:dyDescent="0.3">
      <c r="A6" s="14" t="s">
        <v>652</v>
      </c>
      <c r="B6">
        <f>H21</f>
        <v>4.8062105957418846E-3</v>
      </c>
    </row>
    <row r="7" spans="1:8" x14ac:dyDescent="0.3">
      <c r="A7" s="30" t="s">
        <v>661</v>
      </c>
      <c r="B7">
        <f>(B5*2)+(B8*2)</f>
        <v>25.910991074875856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1/(1+EXP(-LN(19)*(A11-$B$4)/($B$3-$B$4)))</f>
        <v>1.3318992994674333E-5</v>
      </c>
      <c r="F11">
        <f>FACT(B11)/(FACT(B11-C11)*FACT(C11))</f>
        <v>1</v>
      </c>
      <c r="G11">
        <f>($C11*LN(E11/(1-E11))+($B11*LN(1-E11))+LN(F11))</f>
        <v>-3.9957245079903498E-5</v>
      </c>
      <c r="H11">
        <f>POWER((E11-D11),2)</f>
        <v>1.7739557439218395E-10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1/(1+EXP(-LN(19)*(A12-$B$4)/($B$3-$B$4)))</f>
        <v>8.3532156995573008E-5</v>
      </c>
      <c r="F12">
        <f t="shared" ref="F12:F20" si="2">FACT(B12)/(FACT(B12-C12)*FACT(C12))</f>
        <v>1</v>
      </c>
      <c r="G12">
        <f t="shared" ref="G12:G20" si="3">($C12*LN(E12/(1-E12))+($B12*LN(1-E12))+LN(F12))</f>
        <v>-8.3535646000448547E-5</v>
      </c>
      <c r="H12">
        <f t="shared" ref="H12:H20" si="4">POWER((E12-D12),2)</f>
        <v>6.9776212523330568E-9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5.2369120409806414E-4</v>
      </c>
      <c r="F13">
        <f t="shared" si="2"/>
        <v>1</v>
      </c>
      <c r="G13">
        <f t="shared" si="3"/>
        <v>0</v>
      </c>
      <c r="H13">
        <f t="shared" si="4"/>
        <v>2.7425247724968027E-7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3.2755985199233663E-3</v>
      </c>
      <c r="F14">
        <f t="shared" si="2"/>
        <v>1</v>
      </c>
      <c r="G14">
        <f t="shared" si="3"/>
        <v>-9.842925110518673E-3</v>
      </c>
      <c r="H14">
        <f t="shared" si="4"/>
        <v>1.0729545663724148E-5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2.01961012369542E-2</v>
      </c>
      <c r="F15">
        <f t="shared" si="2"/>
        <v>35.000000000000007</v>
      </c>
      <c r="G15">
        <f t="shared" si="3"/>
        <v>-1.0406138816772117</v>
      </c>
      <c r="H15">
        <f t="shared" si="4"/>
        <v>7.0146107959593565E-5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0.11448231783777207</v>
      </c>
      <c r="F16">
        <f t="shared" si="2"/>
        <v>325.00000000000006</v>
      </c>
      <c r="G16">
        <f t="shared" si="3"/>
        <v>-1.4688330937288976</v>
      </c>
      <c r="H16">
        <f t="shared" si="4"/>
        <v>1.4106965780881098E-3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0.44778080613452537</v>
      </c>
      <c r="F17">
        <f t="shared" si="2"/>
        <v>1866442158555973.3</v>
      </c>
      <c r="G17">
        <f t="shared" si="3"/>
        <v>-2.318499734866009</v>
      </c>
      <c r="H17">
        <f t="shared" si="4"/>
        <v>8.7610008782450666E-4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0.83568543653681127</v>
      </c>
      <c r="F18" s="53">
        <v>1.87787981283066E+28</v>
      </c>
      <c r="G18">
        <f t="shared" si="3"/>
        <v>-3.0012895392560637</v>
      </c>
      <c r="H18">
        <f t="shared" si="4"/>
        <v>8.8873384887784557E-4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0.96960410953147524</v>
      </c>
      <c r="F19">
        <f t="shared" si="2"/>
        <v>13991543.999999998</v>
      </c>
      <c r="G19">
        <f t="shared" si="3"/>
        <v>-3.0813930981824846</v>
      </c>
      <c r="H19">
        <f t="shared" si="4"/>
        <v>1.5247895676103113E-3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0.99502672620664045</v>
      </c>
      <c r="F20">
        <f t="shared" si="2"/>
        <v>1</v>
      </c>
      <c r="G20">
        <f t="shared" si="3"/>
        <v>-3.4899771725662276E-2</v>
      </c>
      <c r="H20">
        <f t="shared" si="4"/>
        <v>2.4733452223716839E-5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-10.955495537437928</v>
      </c>
      <c r="H21">
        <f>SUM(H11:H20)</f>
        <v>4.8062105957418846E-3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A67F-16F2-4F2D-B02E-703EBAA5BE7E}">
  <sheetPr>
    <tabColor rgb="FFFF0000"/>
  </sheetPr>
  <dimension ref="A2:H20"/>
  <sheetViews>
    <sheetView zoomScale="74" zoomScaleNormal="74" workbookViewId="0">
      <selection activeCell="B7" sqref="B7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657</v>
      </c>
      <c r="B2" s="64"/>
    </row>
    <row r="3" spans="1:8" x14ac:dyDescent="0.3">
      <c r="A3" s="36" t="s">
        <v>659</v>
      </c>
      <c r="B3">
        <v>63.04366580004578</v>
      </c>
    </row>
    <row r="4" spans="1:8" x14ac:dyDescent="0.3">
      <c r="A4" s="14" t="s">
        <v>633</v>
      </c>
      <c r="B4" s="15">
        <v>53.12380634225137</v>
      </c>
    </row>
    <row r="5" spans="1:8" x14ac:dyDescent="0.3">
      <c r="A5" s="14" t="s">
        <v>655</v>
      </c>
      <c r="B5">
        <f>-G20</f>
        <v>6.4974629318573065</v>
      </c>
    </row>
    <row r="6" spans="1:8" x14ac:dyDescent="0.3">
      <c r="A6" s="14" t="s">
        <v>652</v>
      </c>
      <c r="B6">
        <f>H20</f>
        <v>4.4714723503520544E-3</v>
      </c>
    </row>
    <row r="7" spans="1:8" x14ac:dyDescent="0.3">
      <c r="A7" s="30" t="s">
        <v>661</v>
      </c>
      <c r="B7">
        <f>(B5*2)+(B8*2)</f>
        <v>16.994925863714613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1/(1+EXP(-LN(19)*(A11-$B$4)/($B$3-$B$4)))</f>
        <v>2.4824990813171961E-5</v>
      </c>
      <c r="F11">
        <f>FACT(B11)/(FACT(B11-C11)*FACT(C11))</f>
        <v>1</v>
      </c>
      <c r="G11">
        <f>($C11*LN(E11/(1-E11))+($B11*LN(1-E11))+LN(F11))</f>
        <v>-1.2412649479158429E-4</v>
      </c>
      <c r="H11">
        <f>POWER((E11-D11),2)</f>
        <v>6.1628016887407225E-10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 t="shared" ref="E12:E19" si="1">1/(1+EXP(-LN(19)*(A12-$B$4)/($B$3-$B$4)))</f>
        <v>3.1869410256051445E-4</v>
      </c>
      <c r="F12">
        <f t="shared" ref="F12:F19" si="2">FACT(B12)/(FACT(B12-C12)*FACT(C12))</f>
        <v>1</v>
      </c>
      <c r="G12">
        <f t="shared" ref="G12:G19" si="3">($C12*LN(E12/(1-E12))+($B12*LN(1-E12))+LN(F12))</f>
        <v>-6.3748979263607817E-4</v>
      </c>
      <c r="H12">
        <f t="shared" ref="H12:H19" si="4">POWER((E12-D12),2)</f>
        <v>1.015659310068517E-7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si="1"/>
        <v>4.077094288508467E-3</v>
      </c>
      <c r="F13">
        <f t="shared" si="2"/>
        <v>1</v>
      </c>
      <c r="G13">
        <f t="shared" si="3"/>
        <v>-0.10622113573501409</v>
      </c>
      <c r="H13">
        <f t="shared" si="4"/>
        <v>1.6622697837388364E-5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1"/>
        <v>4.9944381903883436E-2</v>
      </c>
      <c r="F14">
        <f t="shared" si="2"/>
        <v>4495.0000000000009</v>
      </c>
      <c r="G14">
        <f t="shared" si="3"/>
        <v>-2.0143878375583899</v>
      </c>
      <c r="H14">
        <f t="shared" si="4"/>
        <v>2.1930312586596903E-3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1"/>
        <v>0.40301078908111132</v>
      </c>
      <c r="F15">
        <f t="shared" si="2"/>
        <v>119032357903549.97</v>
      </c>
      <c r="G15">
        <f t="shared" si="3"/>
        <v>-2.3957425660207718</v>
      </c>
      <c r="H15">
        <f t="shared" si="4"/>
        <v>1.9820502598319025E-3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1"/>
        <v>0.89657535726962423</v>
      </c>
      <c r="F16">
        <f t="shared" si="2"/>
        <v>3819816.0000000005</v>
      </c>
      <c r="G16">
        <f t="shared" si="3"/>
        <v>-1.7566668395640264</v>
      </c>
      <c r="H16">
        <f t="shared" si="4"/>
        <v>1.999092975632572E-4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1"/>
        <v>0.99109690976073461</v>
      </c>
      <c r="F17">
        <f t="shared" si="2"/>
        <v>1</v>
      </c>
      <c r="G17">
        <f t="shared" si="3"/>
        <v>-0.22357398909264248</v>
      </c>
      <c r="H17">
        <f t="shared" si="4"/>
        <v>7.9265015808502613E-5</v>
      </c>
    </row>
    <row r="18" spans="1:8" x14ac:dyDescent="0.3">
      <c r="A18" s="16">
        <v>77.600000000000023</v>
      </c>
      <c r="B18">
        <v>0</v>
      </c>
      <c r="C18">
        <v>0</v>
      </c>
      <c r="D18">
        <v>1</v>
      </c>
      <c r="E18">
        <f t="shared" si="1"/>
        <v>0.9993009497822436</v>
      </c>
      <c r="F18">
        <f t="shared" si="2"/>
        <v>1</v>
      </c>
      <c r="G18">
        <f t="shared" si="3"/>
        <v>0</v>
      </c>
      <c r="H18">
        <f t="shared" si="4"/>
        <v>4.8867120694527429E-7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1"/>
        <v>0.99994552768415323</v>
      </c>
      <c r="F19">
        <f t="shared" si="2"/>
        <v>1</v>
      </c>
      <c r="G19">
        <f t="shared" si="3"/>
        <v>-1.0894759903479212E-4</v>
      </c>
      <c r="H19">
        <f t="shared" si="4"/>
        <v>2.9672331937097539E-9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-6.4974629318573065</v>
      </c>
      <c r="H20">
        <f>SUM(H11:H19)</f>
        <v>4.4714723503520544E-3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E60A-0190-4566-9698-58C3EE04E4FC}">
  <sheetPr>
    <tabColor rgb="FF7030A0"/>
  </sheetPr>
  <dimension ref="A2:H21"/>
  <sheetViews>
    <sheetView zoomScale="82" zoomScaleNormal="82" workbookViewId="0">
      <selection activeCell="A11" sqref="A11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3.3984375" bestFit="1" customWidth="1"/>
  </cols>
  <sheetData>
    <row r="2" spans="1:8" x14ac:dyDescent="0.3">
      <c r="A2" s="64" t="s">
        <v>660</v>
      </c>
      <c r="B2" s="64"/>
    </row>
    <row r="3" spans="1:8" x14ac:dyDescent="0.3">
      <c r="A3" s="36" t="s">
        <v>653</v>
      </c>
      <c r="B3">
        <v>4.9398764179379402</v>
      </c>
    </row>
    <row r="4" spans="1:8" x14ac:dyDescent="0.3">
      <c r="A4" s="14" t="s">
        <v>633</v>
      </c>
      <c r="B4" s="15">
        <v>61.498562134160359</v>
      </c>
    </row>
    <row r="5" spans="1:8" x14ac:dyDescent="0.3">
      <c r="A5" s="14" t="s">
        <v>655</v>
      </c>
      <c r="B5">
        <f>-G21</f>
        <v>10.939368490223568</v>
      </c>
    </row>
    <row r="6" spans="1:8" x14ac:dyDescent="0.3">
      <c r="A6" s="14" t="s">
        <v>652</v>
      </c>
      <c r="B6">
        <f>H21</f>
        <v>3.7039295886863968E-3</v>
      </c>
    </row>
    <row r="7" spans="1:8" x14ac:dyDescent="0.3">
      <c r="A7" s="30" t="s">
        <v>661</v>
      </c>
      <c r="B7">
        <f>(B5*2)+(B8*2)</f>
        <v>25.878736980447137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1/(1+EXP(-(A11-$B$4)/$B$3))</f>
        <v>3.2535306782245459E-4</v>
      </c>
      <c r="F11">
        <f>FACT(B11)/(FACT(B11-C11)*FACT(C11))</f>
        <v>1</v>
      </c>
      <c r="G11">
        <f>($C11*LN(E11/(1-E11))+($B11*LN(1-E11))+LN(F11))</f>
        <v>-9.7621801984397092E-4</v>
      </c>
      <c r="H11">
        <f>POWER((E11-D11),2)</f>
        <v>1.0585461874148274E-7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 t="shared" ref="E12:E19" si="1">1/(1+EXP(-(A12-$B$4)/$B$3))</f>
        <v>1.2440536159806985E-3</v>
      </c>
      <c r="F12">
        <f t="shared" ref="F12:F20" si="2">FACT(B12)/(FACT(B12-C12)*FACT(C12))</f>
        <v>1</v>
      </c>
      <c r="G12">
        <f t="shared" ref="G12:G19" si="3">($C12*LN(E12/(1-E12))+($B12*LN(1-E12))+LN(F12))</f>
        <v>-1.244828093074383E-3</v>
      </c>
      <c r="H12">
        <f t="shared" ref="H12:H20" si="4">POWER((E12-D12),2)</f>
        <v>1.5476693994346512E-6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si="1"/>
        <v>4.744579881480521E-3</v>
      </c>
      <c r="F13">
        <f t="shared" si="2"/>
        <v>1</v>
      </c>
      <c r="G13">
        <f t="shared" si="3"/>
        <v>-4.7558711295822252E-3</v>
      </c>
      <c r="H13">
        <f t="shared" si="4"/>
        <v>2.2511038251749714E-5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1"/>
        <v>1.7918199440613888E-2</v>
      </c>
      <c r="F14">
        <f t="shared" si="2"/>
        <v>1</v>
      </c>
      <c r="G14">
        <f t="shared" si="3"/>
        <v>-7.2322696553113658E-2</v>
      </c>
      <c r="H14">
        <f t="shared" si="4"/>
        <v>3.2106187119361587E-4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1"/>
        <v>6.5270388256664202E-2</v>
      </c>
      <c r="F15">
        <f t="shared" si="2"/>
        <v>24.999999999999996</v>
      </c>
      <c r="G15">
        <f t="shared" si="3"/>
        <v>-1.1302924366179448</v>
      </c>
      <c r="H15">
        <f t="shared" si="4"/>
        <v>6.3859252264255196E-4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1"/>
        <v>0.21088817866347301</v>
      </c>
      <c r="F16">
        <f t="shared" si="2"/>
        <v>211915132</v>
      </c>
      <c r="G16">
        <f t="shared" si="3"/>
        <v>-1.9415660560972441</v>
      </c>
      <c r="H16">
        <f t="shared" si="4"/>
        <v>3.952562328318556E-4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1"/>
        <v>0.50563947003668763</v>
      </c>
      <c r="F17">
        <f t="shared" si="2"/>
        <v>1877405874732107</v>
      </c>
      <c r="G17">
        <f t="shared" si="3"/>
        <v>-2.2872742317122032</v>
      </c>
      <c r="H17">
        <f t="shared" si="4"/>
        <v>5.8360841103347267E-4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1"/>
        <v>0.79652213238705716</v>
      </c>
      <c r="F18">
        <f t="shared" si="2"/>
        <v>3.5797471298556348E+28</v>
      </c>
      <c r="G18">
        <f t="shared" si="3"/>
        <v>-2.7220174308062042</v>
      </c>
      <c r="H18">
        <f t="shared" si="4"/>
        <v>5.840691575807309E-4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 s="54">
        <f t="shared" si="1"/>
        <v>0.93742884778610958</v>
      </c>
      <c r="F19">
        <f t="shared" si="2"/>
        <v>58433559569.999947</v>
      </c>
      <c r="G19">
        <f t="shared" si="3"/>
        <v>-2.4849904201426085</v>
      </c>
      <c r="H19">
        <f t="shared" si="4"/>
        <v>8.6335309495774325E-4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 s="54">
        <f>1/(1+EXP(-(A20-$B$4)/$B$3))</f>
        <v>0.98285871252861967</v>
      </c>
      <c r="F20">
        <f t="shared" si="2"/>
        <v>1</v>
      </c>
      <c r="G20" s="54">
        <f>($C20*LN(E20/(1-E20))+($B20*LN(1-E20))+LN(F20))</f>
        <v>-0.29392830105174994</v>
      </c>
      <c r="H20">
        <f t="shared" si="4"/>
        <v>2.9382373617650021E-4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-10.939368490223568</v>
      </c>
      <c r="H21">
        <f>SUM(H11:H20)</f>
        <v>3.7039295886863968E-3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848B-32AA-493C-B2C0-099CF2BD5B3C}">
  <sheetPr>
    <tabColor rgb="FF7030A0"/>
  </sheetPr>
  <dimension ref="A2:H20"/>
  <sheetViews>
    <sheetView zoomScale="80" zoomScaleNormal="80" workbookViewId="0">
      <selection activeCell="E11" sqref="E11:E19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660</v>
      </c>
      <c r="B2" s="64"/>
    </row>
    <row r="3" spans="1:8" x14ac:dyDescent="0.3">
      <c r="A3" s="36" t="s">
        <v>653</v>
      </c>
      <c r="B3">
        <v>5.1009935655063332</v>
      </c>
    </row>
    <row r="4" spans="1:8" x14ac:dyDescent="0.3">
      <c r="A4" s="14" t="s">
        <v>633</v>
      </c>
      <c r="B4">
        <v>76.439775907471628</v>
      </c>
    </row>
    <row r="5" spans="1:8" x14ac:dyDescent="0.3">
      <c r="A5" s="14" t="s">
        <v>655</v>
      </c>
      <c r="B5">
        <f>-G20</f>
        <v>7.3377410796380085</v>
      </c>
    </row>
    <row r="6" spans="1:8" x14ac:dyDescent="0.3">
      <c r="A6" s="14" t="s">
        <v>652</v>
      </c>
      <c r="B6">
        <f>H20</f>
        <v>1.966846768457368E-3</v>
      </c>
    </row>
    <row r="7" spans="1:8" x14ac:dyDescent="0.3">
      <c r="A7" s="30" t="s">
        <v>661</v>
      </c>
      <c r="B7">
        <f>(B5*2)+(B8*2)</f>
        <v>18.675482159276015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1/(1+EXP(-(A11-$B$4)/$B$3))</f>
        <v>3.2767227103496077E-5</v>
      </c>
      <c r="F11">
        <f>FACT(B11)/(FACT(B11-C11)*FACT(C11))</f>
        <v>1</v>
      </c>
      <c r="G11">
        <f>($C11*LN(E11/(1-E11))+($B11*LN(1-E11))+LN(F11))</f>
        <v>-1.6383881980430449E-4</v>
      </c>
      <c r="H11">
        <f>POWER((E11-D11),2)</f>
        <v>1.0736911720520879E-9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1/(1+EXP(-(A12-$B$4)/$B$3))</f>
        <v>2.6000306946704656E-4</v>
      </c>
      <c r="F12">
        <f t="shared" ref="F12:F19" si="2">FACT(B12)/(FACT(B12-C12)*FACT(C12))</f>
        <v>1</v>
      </c>
      <c r="G12">
        <f t="shared" ref="G12:G19" si="3">($C12*LN(E12/(1-E12))+($B12*LN(1-E12))+LN(F12))</f>
        <v>-2.600368761251349E-4</v>
      </c>
      <c r="H12">
        <f t="shared" ref="H12:H19" si="4">POWER((E12-D12),2)</f>
        <v>6.7601596132285836E-8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2.0598395553807569E-3</v>
      </c>
      <c r="F13">
        <f t="shared" si="2"/>
        <v>1</v>
      </c>
      <c r="G13">
        <f t="shared" si="3"/>
        <v>-2.6805531254367829E-2</v>
      </c>
      <c r="H13">
        <f t="shared" si="4"/>
        <v>4.2429389939111948E-6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1.6117935833720082E-2</v>
      </c>
      <c r="F14">
        <f t="shared" si="2"/>
        <v>19</v>
      </c>
      <c r="G14">
        <f t="shared" si="3"/>
        <v>-1.4758699877976031</v>
      </c>
      <c r="H14">
        <f t="shared" si="4"/>
        <v>1.3332461334308787E-3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0.11505843406420169</v>
      </c>
      <c r="F15">
        <f t="shared" si="2"/>
        <v>4495.0000000000009</v>
      </c>
      <c r="G15">
        <f t="shared" si="3"/>
        <v>-1.4987670988780142</v>
      </c>
      <c r="H15">
        <f t="shared" si="4"/>
        <v>3.343134512401559E-4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0.5078519468084346</v>
      </c>
      <c r="F16">
        <f t="shared" si="2"/>
        <v>1.1826458156486139E+17</v>
      </c>
      <c r="G16">
        <f t="shared" si="3"/>
        <v>-2.2845293882415731</v>
      </c>
      <c r="H16">
        <f t="shared" si="4"/>
        <v>6.1653068682486226E-5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0.89118494062543274</v>
      </c>
      <c r="F17">
        <f t="shared" si="2"/>
        <v>1370754.0000000005</v>
      </c>
      <c r="G17">
        <f t="shared" si="3"/>
        <v>-1.6829918128414505</v>
      </c>
      <c r="H17">
        <f t="shared" si="4"/>
        <v>1.4258079568066591E-8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0.98484858671357745</v>
      </c>
      <c r="F18">
        <f t="shared" si="2"/>
        <v>1</v>
      </c>
      <c r="G18">
        <f t="shared" si="3"/>
        <v>-0.36641684876511249</v>
      </c>
      <c r="H18">
        <f t="shared" si="4"/>
        <v>2.2956532457598191E-4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0.99806533771239481</v>
      </c>
      <c r="F19">
        <f t="shared" si="2"/>
        <v>1</v>
      </c>
      <c r="G19">
        <f t="shared" si="3"/>
        <v>-1.9365361639573919E-3</v>
      </c>
      <c r="H19">
        <f t="shared" si="4"/>
        <v>3.7429181670817596E-6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-7.3377410796380085</v>
      </c>
      <c r="H20">
        <f>SUM(H11:H19)</f>
        <v>1.966846768457368E-3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F4ED-F403-43E0-A8EF-BEC9CD4A0CCE}">
  <sheetPr>
    <tabColor rgb="FF7030A0"/>
  </sheetPr>
  <dimension ref="A2:H21"/>
  <sheetViews>
    <sheetView workbookViewId="0">
      <selection activeCell="B3" sqref="B3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660</v>
      </c>
      <c r="B2" s="64"/>
    </row>
    <row r="3" spans="1:8" x14ac:dyDescent="0.3">
      <c r="A3" s="36" t="s">
        <v>653</v>
      </c>
      <c r="B3">
        <v>2.6000963730620272</v>
      </c>
    </row>
    <row r="4" spans="1:8" x14ac:dyDescent="0.3">
      <c r="A4" s="14" t="s">
        <v>633</v>
      </c>
      <c r="B4">
        <v>42.923044386734858</v>
      </c>
    </row>
    <row r="5" spans="1:8" x14ac:dyDescent="0.3">
      <c r="A5" s="14" t="s">
        <v>655</v>
      </c>
      <c r="B5">
        <f>-G21</f>
        <v>10.95549553946166</v>
      </c>
    </row>
    <row r="6" spans="1:8" x14ac:dyDescent="0.3">
      <c r="A6" s="14" t="s">
        <v>652</v>
      </c>
      <c r="B6">
        <f>H21</f>
        <v>4.8067444436724911E-3</v>
      </c>
    </row>
    <row r="7" spans="1:8" x14ac:dyDescent="0.3">
      <c r="A7" s="30" t="s">
        <v>661</v>
      </c>
      <c r="B7">
        <f>(B5*2)+(B8*2)</f>
        <v>25.91099107892332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1/(1+EXP(-(A11-$B$4)/$B$3))</f>
        <v>1.3321214207782444E-5</v>
      </c>
      <c r="F11">
        <f>FACT(B11)/(FACT(B11-C11)*FACT(C11))</f>
        <v>1</v>
      </c>
      <c r="G11">
        <f>($C11*LN(E11/(1-E11))+($B11*LN(1-E11))+LN(F11))</f>
        <v>-3.9963908807972064E-5</v>
      </c>
      <c r="H11">
        <f>POWER((E11-D11),2)</f>
        <v>1.7745474796962486E-10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1/(1+EXP(-(A12-$B$4)/$B$3))</f>
        <v>8.3543995079617253E-5</v>
      </c>
      <c r="F12">
        <f t="shared" ref="F12:F20" si="2">FACT(B12)/(FACT(B12-C12)*FACT(C12))</f>
        <v>1</v>
      </c>
      <c r="G12">
        <f t="shared" ref="G12:G20" si="3">($C12*LN(E12/(1-E12))+($B12*LN(1-E12))+LN(F12))</f>
        <v>-8.3547485073530515E-5</v>
      </c>
      <c r="H12">
        <f t="shared" ref="H12:H20" si="4">POWER((E12-D12),2)</f>
        <v>6.9795991138631119E-9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5.237522813595697E-4</v>
      </c>
      <c r="F13">
        <f t="shared" si="2"/>
        <v>1</v>
      </c>
      <c r="G13">
        <f t="shared" si="3"/>
        <v>0</v>
      </c>
      <c r="H13">
        <f t="shared" si="4"/>
        <v>2.7431645222935384E-7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3.2758977415275393E-3</v>
      </c>
      <c r="F14">
        <f t="shared" si="2"/>
        <v>1</v>
      </c>
      <c r="G14">
        <f t="shared" si="3"/>
        <v>-9.8438257255193933E-3</v>
      </c>
      <c r="H14">
        <f t="shared" si="4"/>
        <v>1.0731506012945232E-5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2.0197419307620753E-2</v>
      </c>
      <c r="F15">
        <f t="shared" si="2"/>
        <v>35.000000000000007</v>
      </c>
      <c r="G15">
        <f t="shared" si="3"/>
        <v>-1.0405943583527106</v>
      </c>
      <c r="H15">
        <f t="shared" si="4"/>
        <v>7.0124031150339152E-5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0.11448653198337663</v>
      </c>
      <c r="F16">
        <f t="shared" si="2"/>
        <v>325.00000000000006</v>
      </c>
      <c r="G16">
        <f t="shared" si="3"/>
        <v>-1.4688736895606009</v>
      </c>
      <c r="H16">
        <f t="shared" si="4"/>
        <v>1.4110131560671555E-3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0.44778489375183811</v>
      </c>
      <c r="F17">
        <f t="shared" si="2"/>
        <v>1866442158555973.3</v>
      </c>
      <c r="G17">
        <f t="shared" si="3"/>
        <v>-2.3185266478852355</v>
      </c>
      <c r="H17">
        <f t="shared" si="4"/>
        <v>8.7634208320431226E-4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0.83568426836191367</v>
      </c>
      <c r="F18" s="53">
        <v>1.87787981283066E+28</v>
      </c>
      <c r="G18">
        <f t="shared" si="3"/>
        <v>-3.0013329081372291</v>
      </c>
      <c r="H18">
        <f t="shared" si="4"/>
        <v>8.8880350066028674E-4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0.96960312087227085</v>
      </c>
      <c r="F19">
        <f t="shared" si="2"/>
        <v>13991543.999999998</v>
      </c>
      <c r="G19">
        <f t="shared" si="3"/>
        <v>-3.0812987871696969</v>
      </c>
      <c r="H19">
        <f t="shared" si="4"/>
        <v>1.5247123571631453E-3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0.99502643629695819</v>
      </c>
      <c r="F20">
        <f t="shared" si="2"/>
        <v>1</v>
      </c>
      <c r="G20">
        <f t="shared" si="3"/>
        <v>-3.4901811236785818E-2</v>
      </c>
      <c r="H20">
        <f t="shared" si="4"/>
        <v>2.4736335908214918E-5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-10.95549553946166</v>
      </c>
      <c r="H21">
        <f>SUM(H11:H20)</f>
        <v>4.8067444436724911E-3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A318-149F-48B4-9829-E62829483840}">
  <sheetPr>
    <tabColor rgb="FF7030A0"/>
  </sheetPr>
  <dimension ref="A2:H20"/>
  <sheetViews>
    <sheetView zoomScale="77" zoomScaleNormal="77" workbookViewId="0">
      <selection activeCell="E24" sqref="E24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660</v>
      </c>
      <c r="B2" s="64"/>
    </row>
    <row r="3" spans="1:8" x14ac:dyDescent="0.3">
      <c r="A3" s="36" t="s">
        <v>653</v>
      </c>
      <c r="B3">
        <v>3.3690141563440035</v>
      </c>
    </row>
    <row r="4" spans="1:8" x14ac:dyDescent="0.3">
      <c r="A4" s="14" t="s">
        <v>633</v>
      </c>
      <c r="B4" s="15">
        <v>53.123805303003081</v>
      </c>
    </row>
    <row r="5" spans="1:8" x14ac:dyDescent="0.3">
      <c r="A5" s="14" t="s">
        <v>655</v>
      </c>
      <c r="B5">
        <f>-G20</f>
        <v>6.4974629318424384</v>
      </c>
    </row>
    <row r="6" spans="1:8" x14ac:dyDescent="0.3">
      <c r="A6" s="14" t="s">
        <v>652</v>
      </c>
      <c r="B6">
        <f>H20</f>
        <v>4.4714761874860729E-3</v>
      </c>
    </row>
    <row r="7" spans="1:8" x14ac:dyDescent="0.3">
      <c r="A7" s="30" t="s">
        <v>661</v>
      </c>
      <c r="B7">
        <f>(B5*2)+(B8*2)</f>
        <v>16.994925863684877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1/(1+EXP(-(A11-$B$4)/$B$3))</f>
        <v>2.4824922725469564E-5</v>
      </c>
      <c r="F11">
        <f>FACT(B11)/(FACT(B11-C11)*FACT(C11))</f>
        <v>1</v>
      </c>
      <c r="G11">
        <f>($C11*LN(E11/(1-E11))+($B11*LN(1-E11))+LN(F11))</f>
        <v>-1.2412615434489956E-4</v>
      </c>
      <c r="H11">
        <f>POWER((E11-D11),2)</f>
        <v>6.1627678832553522E-10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 t="shared" ref="E12:E19" si="1">1/(1+EXP(-(A12-$B$4)/$B$3))</f>
        <v>3.1869346275274801E-4</v>
      </c>
      <c r="F12">
        <f t="shared" ref="F12:F19" si="2">FACT(B12)/(FACT(B12-C12)*FACT(C12))</f>
        <v>1</v>
      </c>
      <c r="G12">
        <f t="shared" ref="G12:G19" si="3">($C12*LN(E12/(1-E12))+($B12*LN(1-E12))+LN(F12))</f>
        <v>-6.3748851261261801E-4</v>
      </c>
      <c r="H12">
        <f t="shared" ref="H12:H19" si="4">POWER((E12-D12),2)</f>
        <v>1.0156552320133718E-7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si="1"/>
        <v>4.0770891167363071E-3</v>
      </c>
      <c r="F13">
        <f t="shared" si="2"/>
        <v>1</v>
      </c>
      <c r="G13">
        <f t="shared" si="3"/>
        <v>-0.10622100071846406</v>
      </c>
      <c r="H13">
        <f t="shared" si="4"/>
        <v>1.6622655665809641E-5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1"/>
        <v>4.994435632160555E-2</v>
      </c>
      <c r="F14">
        <f t="shared" si="2"/>
        <v>4495.0000000000009</v>
      </c>
      <c r="G14">
        <f t="shared" si="3"/>
        <v>-2.0143886202449348</v>
      </c>
      <c r="H14">
        <f t="shared" si="4"/>
        <v>2.1930336546868547E-3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1"/>
        <v>0.40301083609376709</v>
      </c>
      <c r="F15">
        <f t="shared" si="2"/>
        <v>119032357903549.97</v>
      </c>
      <c r="G15">
        <f t="shared" si="3"/>
        <v>-2.3957430270888409</v>
      </c>
      <c r="H15">
        <f t="shared" si="4"/>
        <v>1.9820544458619541E-3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1"/>
        <v>0.89657544350188556</v>
      </c>
      <c r="F16">
        <f t="shared" si="2"/>
        <v>3819816.0000000005</v>
      </c>
      <c r="G16">
        <f t="shared" si="3"/>
        <v>-1.7566661032512982</v>
      </c>
      <c r="H16">
        <f t="shared" si="4"/>
        <v>1.9990685910714802E-4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1"/>
        <v>0.99109692444793307</v>
      </c>
      <c r="F17">
        <f t="shared" si="2"/>
        <v>1</v>
      </c>
      <c r="G17">
        <f t="shared" si="3"/>
        <v>-0.22357361861429581</v>
      </c>
      <c r="H17">
        <f t="shared" si="4"/>
        <v>7.9264754285811876E-5</v>
      </c>
    </row>
    <row r="18" spans="1:8" x14ac:dyDescent="0.3">
      <c r="A18" s="16">
        <v>77.600000000000023</v>
      </c>
      <c r="B18">
        <v>0</v>
      </c>
      <c r="C18">
        <v>0</v>
      </c>
      <c r="D18">
        <v>1</v>
      </c>
      <c r="E18">
        <f t="shared" si="1"/>
        <v>0.99930095145811904</v>
      </c>
      <c r="F18">
        <f t="shared" si="2"/>
        <v>1</v>
      </c>
      <c r="G18">
        <f t="shared" si="3"/>
        <v>0</v>
      </c>
      <c r="H18">
        <f t="shared" si="4"/>
        <v>4.8866886390590248E-7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1"/>
        <v>0.99994552785483737</v>
      </c>
      <c r="F19">
        <f t="shared" si="2"/>
        <v>1</v>
      </c>
      <c r="G19">
        <f t="shared" si="3"/>
        <v>-1.089472576474293E-4</v>
      </c>
      <c r="H19">
        <f t="shared" si="4"/>
        <v>2.9672145986188275E-9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-6.4974629318424384</v>
      </c>
      <c r="H20">
        <f>SUM(H11:H19)</f>
        <v>4.4714761874860729E-3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ABAC-1625-4E8A-AEDB-CF059B867916}">
  <sheetPr>
    <tabColor theme="0" tint="-0.499984740745262"/>
  </sheetPr>
  <dimension ref="A2:H21"/>
  <sheetViews>
    <sheetView zoomScale="71" zoomScaleNormal="71" workbookViewId="0">
      <selection activeCell="B7" sqref="B7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665</v>
      </c>
      <c r="B2" s="64"/>
    </row>
    <row r="3" spans="1:8" x14ac:dyDescent="0.3">
      <c r="A3" t="s">
        <v>666</v>
      </c>
      <c r="B3">
        <v>0</v>
      </c>
    </row>
    <row r="4" spans="1:8" x14ac:dyDescent="0.3">
      <c r="A4" t="s">
        <v>667</v>
      </c>
      <c r="B4">
        <v>0</v>
      </c>
    </row>
    <row r="5" spans="1:8" x14ac:dyDescent="0.3">
      <c r="A5" s="14" t="s">
        <v>633</v>
      </c>
      <c r="B5" s="15" t="e">
        <f>-B3/B4</f>
        <v>#DIV/0!</v>
      </c>
    </row>
    <row r="6" spans="1:8" x14ac:dyDescent="0.3">
      <c r="A6" s="14" t="s">
        <v>655</v>
      </c>
      <c r="B6">
        <f>-G21</f>
        <v>112.52526928939147</v>
      </c>
      <c r="C6" s="14" t="s">
        <v>652</v>
      </c>
      <c r="D6">
        <f>H21</f>
        <v>1.8037715169185791</v>
      </c>
    </row>
    <row r="7" spans="1:8" x14ac:dyDescent="0.3">
      <c r="A7" s="30" t="s">
        <v>661</v>
      </c>
      <c r="B7" t="e">
        <f>(B5*2)+(B8*2)</f>
        <v>#DIV/0!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1/(1+EXP($B$3+($B$4*A11)))</f>
        <v>0.5</v>
      </c>
      <c r="F11">
        <f>FACT(B11)/(FACT(B11-C11)*FACT(C11))</f>
        <v>1</v>
      </c>
      <c r="G11">
        <f>($C11*LN(E11/(1-E11))+($B11*LN(1-E11))+LN(F11))</f>
        <v>-2.0794415416798357</v>
      </c>
      <c r="H11">
        <f>POWER((E11-D11),2)</f>
        <v>0.25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>1/(1+EXP($B$3+($B$4*A12)))</f>
        <v>0.5</v>
      </c>
      <c r="F12">
        <f t="shared" ref="F12:F20" si="1">FACT(B12)/(FACT(B12-C12)*FACT(C12))</f>
        <v>1</v>
      </c>
      <c r="G12">
        <f t="shared" ref="G12:G20" si="2">($C12*LN(E12/(1-E12))+($B12*LN(1-E12))+LN(F12))</f>
        <v>-0.69314718055994529</v>
      </c>
      <c r="H12">
        <f t="shared" ref="H12:H20" si="3">POWER((E12-D12),2)</f>
        <v>0.25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ref="E13:E19" si="4">1/(1+EXP($B$3+($B$4*A13)))</f>
        <v>0.5</v>
      </c>
      <c r="F13">
        <f t="shared" si="1"/>
        <v>1</v>
      </c>
      <c r="G13">
        <f t="shared" si="2"/>
        <v>-0.69314718055994529</v>
      </c>
      <c r="H13">
        <f t="shared" si="3"/>
        <v>0.25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4"/>
        <v>0.5</v>
      </c>
      <c r="F14">
        <f t="shared" si="1"/>
        <v>1</v>
      </c>
      <c r="G14">
        <f t="shared" si="2"/>
        <v>-2.7725887222397811</v>
      </c>
      <c r="H14">
        <f t="shared" si="3"/>
        <v>0.25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4"/>
        <v>0.5</v>
      </c>
      <c r="F15">
        <f t="shared" si="1"/>
        <v>24.999999999999996</v>
      </c>
      <c r="G15">
        <f t="shared" si="2"/>
        <v>-14.109803689130432</v>
      </c>
      <c r="H15">
        <f t="shared" si="3"/>
        <v>0.21160000000000001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4"/>
        <v>0.5</v>
      </c>
      <c r="F16">
        <f t="shared" si="1"/>
        <v>211915132</v>
      </c>
      <c r="G16">
        <f t="shared" si="2"/>
        <v>-7.8610436101060408</v>
      </c>
      <c r="H16">
        <f t="shared" si="3"/>
        <v>7.2485207100591711E-2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4"/>
        <v>0.5</v>
      </c>
      <c r="F17">
        <f t="shared" si="1"/>
        <v>1877405874732107</v>
      </c>
      <c r="G17">
        <f t="shared" si="2"/>
        <v>-2.2612803852254046</v>
      </c>
      <c r="H17">
        <f t="shared" si="3"/>
        <v>3.4293552812071431E-4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4"/>
        <v>0.5</v>
      </c>
      <c r="F18">
        <f t="shared" si="1"/>
        <v>3.5797471298556348E+28</v>
      </c>
      <c r="G18">
        <f t="shared" si="2"/>
        <v>-34.758666413559425</v>
      </c>
      <c r="H18">
        <f t="shared" si="3"/>
        <v>0.10284185493460164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>
        <f t="shared" si="4"/>
        <v>0.5</v>
      </c>
      <c r="F19">
        <f t="shared" si="1"/>
        <v>58433559569.999947</v>
      </c>
      <c r="G19">
        <f t="shared" si="2"/>
        <v>-35.5126484968116</v>
      </c>
      <c r="H19">
        <f t="shared" si="3"/>
        <v>0.16650151935526489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>
        <f>1/(1+EXP($B$3+($B$4*A20)))</f>
        <v>0.5</v>
      </c>
      <c r="F20">
        <f t="shared" si="1"/>
        <v>1</v>
      </c>
      <c r="G20">
        <f t="shared" si="2"/>
        <v>-11.78350206951907</v>
      </c>
      <c r="H20">
        <f t="shared" si="3"/>
        <v>0.25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-112.52526928939147</v>
      </c>
      <c r="H21">
        <f>SUM(H11:H20)</f>
        <v>1.8037715169185791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D77D-8D8C-4DA0-B6C4-89DB29EC249C}">
  <sheetPr>
    <tabColor theme="0" tint="-0.499984740745262"/>
  </sheetPr>
  <dimension ref="A2:H20"/>
  <sheetViews>
    <sheetView zoomScale="80" zoomScaleNormal="80" workbookViewId="0">
      <selection activeCell="A23" sqref="A23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665</v>
      </c>
      <c r="B2" s="64"/>
    </row>
    <row r="3" spans="1:8" x14ac:dyDescent="0.3">
      <c r="A3" t="s">
        <v>666</v>
      </c>
      <c r="B3">
        <v>0</v>
      </c>
    </row>
    <row r="4" spans="1:8" x14ac:dyDescent="0.3">
      <c r="A4" t="s">
        <v>667</v>
      </c>
      <c r="B4">
        <v>0</v>
      </c>
    </row>
    <row r="5" spans="1:8" x14ac:dyDescent="0.3">
      <c r="A5" s="14" t="s">
        <v>633</v>
      </c>
      <c r="B5" s="15" t="e">
        <f>-B3/B4</f>
        <v>#DIV/0!</v>
      </c>
    </row>
    <row r="6" spans="1:8" x14ac:dyDescent="0.3">
      <c r="A6" s="14" t="s">
        <v>655</v>
      </c>
      <c r="B6">
        <f>-G20</f>
        <v>73.831703948533075</v>
      </c>
      <c r="C6" s="14" t="s">
        <v>652</v>
      </c>
      <c r="D6">
        <f>H20</f>
        <v>1.7658486477712774</v>
      </c>
    </row>
    <row r="7" spans="1:8" x14ac:dyDescent="0.3">
      <c r="A7" s="30" t="s">
        <v>661</v>
      </c>
      <c r="B7" t="e">
        <f>(B5*2)+(B8*2)</f>
        <v>#DIV/0!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1/(1+EXP($B$3+$B$4*A11))</f>
        <v>0.5</v>
      </c>
      <c r="F11">
        <f>FACT(B11)/(FACT(B11-C11)*FACT(C11))</f>
        <v>1</v>
      </c>
      <c r="G11">
        <f>($C11*LN(E11/(1-E11))+($B11*LN(1-E11))+LN(F11))</f>
        <v>-3.4657359027997265</v>
      </c>
      <c r="H11">
        <f>POWER((E11-D11),2)</f>
        <v>0.25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1/(1+EXP($B$3+$B$4*A12))</f>
        <v>0.5</v>
      </c>
      <c r="F12">
        <f t="shared" ref="F12:F19" si="2">FACT(B12)/(FACT(B12-C12)*FACT(C12))</f>
        <v>1</v>
      </c>
      <c r="G12">
        <f t="shared" ref="G12:G19" si="3">($C12*LN(E12/(1-E12))+($B12*LN(1-E12))+LN(F12))</f>
        <v>-0.69314718055994529</v>
      </c>
      <c r="H12">
        <f t="shared" ref="H12:H19" si="4">POWER((E12-D12),2)</f>
        <v>0.25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0.5</v>
      </c>
      <c r="F13">
        <f t="shared" si="2"/>
        <v>1</v>
      </c>
      <c r="G13">
        <f t="shared" si="3"/>
        <v>-9.0109133472792884</v>
      </c>
      <c r="H13">
        <f t="shared" si="4"/>
        <v>0.25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0.5</v>
      </c>
      <c r="F14">
        <f t="shared" si="2"/>
        <v>19</v>
      </c>
      <c r="G14">
        <f t="shared" si="3"/>
        <v>-10.225357451472521</v>
      </c>
      <c r="H14">
        <f t="shared" si="4"/>
        <v>0.20013850415512466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0.5</v>
      </c>
      <c r="F15">
        <f t="shared" si="2"/>
        <v>4495.0000000000009</v>
      </c>
      <c r="G15">
        <f t="shared" si="3"/>
        <v>-13.076841650452584</v>
      </c>
      <c r="H15">
        <f t="shared" si="4"/>
        <v>0.16259105098855356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0.5</v>
      </c>
      <c r="F16">
        <f t="shared" si="2"/>
        <v>1.1826458156486139E+17</v>
      </c>
      <c r="G16">
        <f t="shared" si="3"/>
        <v>-2.2771301075854566</v>
      </c>
      <c r="H16">
        <f t="shared" si="4"/>
        <v>0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0.5</v>
      </c>
      <c r="F17">
        <f t="shared" si="2"/>
        <v>1370754.0000000005</v>
      </c>
      <c r="G17">
        <f t="shared" si="3"/>
        <v>-17.753898794384924</v>
      </c>
      <c r="H17">
        <f t="shared" si="4"/>
        <v>0.15311909262759921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0.5</v>
      </c>
      <c r="F18">
        <f t="shared" si="2"/>
        <v>1</v>
      </c>
      <c r="G18">
        <f t="shared" si="3"/>
        <v>-16.635532333438686</v>
      </c>
      <c r="H18">
        <f t="shared" si="4"/>
        <v>0.25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0.5</v>
      </c>
      <c r="F19">
        <f t="shared" si="2"/>
        <v>1</v>
      </c>
      <c r="G19">
        <f t="shared" si="3"/>
        <v>-0.69314718055994529</v>
      </c>
      <c r="H19">
        <f t="shared" si="4"/>
        <v>0.25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-73.831703948533075</v>
      </c>
      <c r="H20">
        <f>SUM(H11:H19)</f>
        <v>1.7658486477712774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9F6B-CCCA-4919-9E9B-599F77A5CF3F}">
  <sheetPr>
    <tabColor theme="0" tint="-0.499984740745262"/>
  </sheetPr>
  <dimension ref="A2:H21"/>
  <sheetViews>
    <sheetView zoomScale="68" zoomScaleNormal="68" workbookViewId="0">
      <selection activeCell="G13" sqref="G13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21.59765625" customWidth="1"/>
  </cols>
  <sheetData>
    <row r="2" spans="1:8" x14ac:dyDescent="0.3">
      <c r="A2" s="64" t="s">
        <v>665</v>
      </c>
      <c r="B2" s="64"/>
    </row>
    <row r="3" spans="1:8" x14ac:dyDescent="0.3">
      <c r="A3" t="s">
        <v>666</v>
      </c>
      <c r="B3">
        <v>0</v>
      </c>
    </row>
    <row r="4" spans="1:8" x14ac:dyDescent="0.3">
      <c r="A4" t="s">
        <v>667</v>
      </c>
      <c r="B4">
        <v>0</v>
      </c>
    </row>
    <row r="5" spans="1:8" x14ac:dyDescent="0.3">
      <c r="A5" s="14" t="s">
        <v>633</v>
      </c>
      <c r="B5" s="15" t="e">
        <f>-B3/B4</f>
        <v>#DIV/0!</v>
      </c>
    </row>
    <row r="6" spans="1:8" x14ac:dyDescent="0.3">
      <c r="A6" s="14" t="s">
        <v>655</v>
      </c>
      <c r="B6">
        <f>-G21</f>
        <v>132.48542499025049</v>
      </c>
      <c r="C6" s="14" t="s">
        <v>652</v>
      </c>
      <c r="D6">
        <f>H21</f>
        <v>1.9768993946768558</v>
      </c>
    </row>
    <row r="7" spans="1:8" x14ac:dyDescent="0.3">
      <c r="A7" s="30" t="s">
        <v>661</v>
      </c>
      <c r="B7" t="e">
        <f>(B5*2)+(B8*2)</f>
        <v>#DIV/0!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1/(1+EXP($B$3+$B$4*A11))</f>
        <v>0.5</v>
      </c>
      <c r="F11">
        <f>FACT(B11)/(FACT(B11-C11)*FACT(C11))</f>
        <v>1</v>
      </c>
      <c r="G11">
        <f>($C11*LN(E11/(1-E11))+($B11*LN(1-E11))+LN(F11))</f>
        <v>-2.0794415416798357</v>
      </c>
      <c r="H11">
        <f>POWER((E11-D11),2)</f>
        <v>0.25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1/(1+EXP($B$3+$B$4*A12))</f>
        <v>0.5</v>
      </c>
      <c r="F12">
        <f t="shared" ref="F12:F20" si="2">FACT(B12)/(FACT(B12-C12)*FACT(C12))</f>
        <v>1</v>
      </c>
      <c r="G12">
        <f t="shared" ref="G12:G20" si="3">($C12*LN(E12/(1-E12))+($B12*LN(1-E12))+LN(F12))</f>
        <v>-0.69314718055994529</v>
      </c>
      <c r="H12">
        <f t="shared" ref="H12:H20" si="4">POWER((E12-D12),2)</f>
        <v>0.25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0.5</v>
      </c>
      <c r="F13">
        <f t="shared" si="2"/>
        <v>1</v>
      </c>
      <c r="G13">
        <f t="shared" si="3"/>
        <v>0</v>
      </c>
      <c r="H13">
        <f t="shared" si="4"/>
        <v>0.25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0.5</v>
      </c>
      <c r="F14">
        <f t="shared" si="2"/>
        <v>1</v>
      </c>
      <c r="G14">
        <f t="shared" si="3"/>
        <v>-2.0794415416798357</v>
      </c>
      <c r="H14">
        <f t="shared" si="4"/>
        <v>0.25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0.5</v>
      </c>
      <c r="F15">
        <f t="shared" si="2"/>
        <v>35.000000000000007</v>
      </c>
      <c r="G15">
        <f t="shared" si="3"/>
        <v>-20.704803258108669</v>
      </c>
      <c r="H15">
        <f t="shared" si="4"/>
        <v>0.22224489795918367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0.5</v>
      </c>
      <c r="F16">
        <f t="shared" si="2"/>
        <v>325.00000000000006</v>
      </c>
      <c r="G16">
        <f t="shared" si="3"/>
        <v>-12.238001512228839</v>
      </c>
      <c r="H16">
        <f t="shared" si="4"/>
        <v>0.17899408284023668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0.5</v>
      </c>
      <c r="F17">
        <f t="shared" si="2"/>
        <v>1866442158555973.3</v>
      </c>
      <c r="G17">
        <f t="shared" si="3"/>
        <v>-2.9602845062487475</v>
      </c>
      <c r="H17">
        <f t="shared" si="4"/>
        <v>6.6942148760330625E-3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0.5</v>
      </c>
      <c r="F18" s="53">
        <v>1.87787981283066E+28</v>
      </c>
      <c r="G18">
        <f t="shared" si="3"/>
        <v>-53.425641890606983</v>
      </c>
      <c r="H18">
        <f t="shared" si="4"/>
        <v>0.13358811258164902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0.5</v>
      </c>
      <c r="F19">
        <f t="shared" si="2"/>
        <v>13991543.999999998</v>
      </c>
      <c r="G19">
        <f t="shared" si="3"/>
        <v>-33.452633295218007</v>
      </c>
      <c r="H19">
        <f t="shared" si="4"/>
        <v>0.18537808641975312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0.5</v>
      </c>
      <c r="F20">
        <f t="shared" si="2"/>
        <v>1</v>
      </c>
      <c r="G20">
        <f t="shared" si="3"/>
        <v>-4.8520302639196169</v>
      </c>
      <c r="H20">
        <f t="shared" si="4"/>
        <v>0.25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-132.48542499025049</v>
      </c>
      <c r="H21">
        <f>SUM(H11:H20)</f>
        <v>1.9768993946768558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900A-A2DC-4CB1-84BB-040A71E376E3}">
  <sheetPr>
    <tabColor theme="0" tint="-0.499984740745262"/>
  </sheetPr>
  <dimension ref="A2:H20"/>
  <sheetViews>
    <sheetView zoomScale="76" zoomScaleNormal="76" workbookViewId="0">
      <selection activeCell="F22" sqref="F22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665</v>
      </c>
      <c r="B2" s="64"/>
    </row>
    <row r="3" spans="1:8" x14ac:dyDescent="0.3">
      <c r="A3" t="s">
        <v>666</v>
      </c>
      <c r="B3">
        <v>0</v>
      </c>
    </row>
    <row r="4" spans="1:8" x14ac:dyDescent="0.3">
      <c r="A4" t="s">
        <v>667</v>
      </c>
      <c r="B4">
        <v>0</v>
      </c>
    </row>
    <row r="5" spans="1:8" x14ac:dyDescent="0.3">
      <c r="A5" s="14" t="s">
        <v>633</v>
      </c>
      <c r="B5" s="15" t="e">
        <f>-B3/B4</f>
        <v>#DIV/0!</v>
      </c>
    </row>
    <row r="6" spans="1:8" x14ac:dyDescent="0.3">
      <c r="A6" s="14" t="s">
        <v>655</v>
      </c>
      <c r="B6">
        <f>-G20</f>
        <v>82.652585865966216</v>
      </c>
      <c r="C6" s="14" t="s">
        <v>652</v>
      </c>
      <c r="D6">
        <f>H21</f>
        <v>0</v>
      </c>
    </row>
    <row r="7" spans="1:8" x14ac:dyDescent="0.3">
      <c r="A7" s="30" t="s">
        <v>661</v>
      </c>
      <c r="B7" t="e">
        <f>(B5*2)+(B8*2)</f>
        <v>#DIV/0!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1/(1+EXP($B$3+$B$4*A11))</f>
        <v>0.5</v>
      </c>
      <c r="F11">
        <f>FACT(B11)/(FACT(B11-C11)*FACT(C11))</f>
        <v>1</v>
      </c>
      <c r="G11">
        <f>($C11*LN(E11/(1-E11))+($B11*LN(1-E11))+LN(F11))</f>
        <v>-3.4657359027997265</v>
      </c>
      <c r="H11">
        <f>POWER((E11-D11),2)</f>
        <v>0.25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 t="shared" ref="E12:E19" si="1">1/(1+EXP($B$3+$B$4*A12))</f>
        <v>0.5</v>
      </c>
      <c r="F12">
        <f t="shared" ref="F12:F19" si="2">FACT(B12)/(FACT(B12-C12)*FACT(C12))</f>
        <v>1</v>
      </c>
      <c r="G12">
        <f t="shared" ref="G12:G19" si="3">($C12*LN(E12/(1-E12))+($B12*LN(1-E12))+LN(F12))</f>
        <v>-1.3862943611198906</v>
      </c>
      <c r="H12">
        <f t="shared" ref="H12:H19" si="4">POWER((E12-D12),2)</f>
        <v>0.25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si="1"/>
        <v>0.5</v>
      </c>
      <c r="F13">
        <f t="shared" si="2"/>
        <v>1</v>
      </c>
      <c r="G13">
        <f t="shared" si="3"/>
        <v>-18.021826694558577</v>
      </c>
      <c r="H13">
        <f t="shared" si="4"/>
        <v>0.25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1"/>
        <v>0.5</v>
      </c>
      <c r="F14">
        <f t="shared" si="2"/>
        <v>4495.0000000000009</v>
      </c>
      <c r="G14">
        <f t="shared" si="3"/>
        <v>-13.076841650452584</v>
      </c>
      <c r="H14">
        <f t="shared" si="4"/>
        <v>0.16259105098855356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1"/>
        <v>0.5</v>
      </c>
      <c r="F15">
        <f t="shared" si="2"/>
        <v>119032357903549.97</v>
      </c>
      <c r="G15">
        <f t="shared" si="3"/>
        <v>-4.3263840824433686</v>
      </c>
      <c r="H15">
        <f t="shared" si="4"/>
        <v>2.0024919900320407E-2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1"/>
        <v>0.5</v>
      </c>
      <c r="F16">
        <f t="shared" si="2"/>
        <v>3819816.0000000005</v>
      </c>
      <c r="G16">
        <f t="shared" si="3"/>
        <v>-23.660529299473538</v>
      </c>
      <c r="H16">
        <f t="shared" si="4"/>
        <v>0.16868622448979589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1"/>
        <v>0.5</v>
      </c>
      <c r="F17">
        <f t="shared" si="2"/>
        <v>1</v>
      </c>
      <c r="G17">
        <f t="shared" si="3"/>
        <v>-17.328679513998633</v>
      </c>
      <c r="H17">
        <f t="shared" si="4"/>
        <v>0.25</v>
      </c>
    </row>
    <row r="18" spans="1:8" x14ac:dyDescent="0.3">
      <c r="A18" s="16">
        <v>77.600000000000023</v>
      </c>
      <c r="B18">
        <v>0</v>
      </c>
      <c r="C18">
        <v>0</v>
      </c>
      <c r="D18">
        <f>1</f>
        <v>1</v>
      </c>
      <c r="E18">
        <f t="shared" si="1"/>
        <v>0.5</v>
      </c>
      <c r="F18">
        <f t="shared" si="2"/>
        <v>1</v>
      </c>
      <c r="G18">
        <f t="shared" si="3"/>
        <v>0</v>
      </c>
      <c r="H18">
        <f t="shared" si="4"/>
        <v>0.25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1"/>
        <v>0.5</v>
      </c>
      <c r="F19">
        <f t="shared" si="2"/>
        <v>1</v>
      </c>
      <c r="G19">
        <f t="shared" si="3"/>
        <v>-1.3862943611198906</v>
      </c>
      <c r="H19">
        <f t="shared" si="4"/>
        <v>0.25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-82.652585865966216</v>
      </c>
      <c r="H20">
        <f>SUM(H11:H19)</f>
        <v>1.8513021953786699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46B3-8C3E-4B22-BDCD-6B8F28D00E74}">
  <sheetPr>
    <tabColor rgb="FFFFFF00"/>
  </sheetPr>
  <dimension ref="A2:H21"/>
  <sheetViews>
    <sheetView workbookViewId="0">
      <selection activeCell="G15" sqref="G15"/>
    </sheetView>
  </sheetViews>
  <sheetFormatPr baseColWidth="10" defaultRowHeight="13" x14ac:dyDescent="0.3"/>
  <cols>
    <col min="1" max="1" width="13.3984375" customWidth="1"/>
    <col min="2" max="2" width="15.5" customWidth="1"/>
    <col min="3" max="3" width="14.796875" customWidth="1"/>
    <col min="4" max="4" width="21.09765625" customWidth="1"/>
    <col min="5" max="5" width="11.8984375" bestFit="1" customWidth="1"/>
  </cols>
  <sheetData>
    <row r="2" spans="1:8" x14ac:dyDescent="0.3">
      <c r="A2" s="64" t="s">
        <v>670</v>
      </c>
      <c r="B2" s="64"/>
    </row>
    <row r="3" spans="1:8" x14ac:dyDescent="0.3">
      <c r="A3" s="36" t="s">
        <v>671</v>
      </c>
      <c r="B3">
        <v>0.2024331016686495</v>
      </c>
    </row>
    <row r="4" spans="1:8" x14ac:dyDescent="0.3">
      <c r="A4" s="14" t="s">
        <v>633</v>
      </c>
      <c r="B4">
        <v>61.498518361078233</v>
      </c>
    </row>
    <row r="5" spans="1:8" x14ac:dyDescent="0.3">
      <c r="A5" s="14" t="s">
        <v>655</v>
      </c>
      <c r="B5">
        <f>-G21</f>
        <v>10.939368494595657</v>
      </c>
    </row>
    <row r="6" spans="1:8" x14ac:dyDescent="0.3">
      <c r="A6" s="14" t="s">
        <v>652</v>
      </c>
      <c r="B6">
        <f>H21</f>
        <v>3.7039985979123867E-3</v>
      </c>
    </row>
    <row r="7" spans="1:8" x14ac:dyDescent="0.3">
      <c r="A7" s="30" t="s">
        <v>661</v>
      </c>
      <c r="B7">
        <f>(B5*2)+(B8*2)</f>
        <v>25.878736989191314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21.83</v>
      </c>
      <c r="B11">
        <v>3</v>
      </c>
      <c r="C11">
        <v>0</v>
      </c>
      <c r="D11">
        <f>C11/B11</f>
        <v>0</v>
      </c>
      <c r="E11">
        <f>1/(1+EXP(-$B$3*(A11-$B$4)))</f>
        <v>3.253703019346515E-4</v>
      </c>
      <c r="F11">
        <f>FACT(B11)/(FACT(B11-C11)*FACT(C11))</f>
        <v>1</v>
      </c>
      <c r="G11">
        <f>($C11*LN(E11/(1-E11))+($B11*LN(1-E11))+LN(F11))</f>
        <v>-9.7626973900815056E-4</v>
      </c>
      <c r="H11">
        <f>POWER((E11-D11),2)</f>
        <v>1.0586583338104629E-7</v>
      </c>
    </row>
    <row r="12" spans="1:8" x14ac:dyDescent="0.3">
      <c r="A12" s="16">
        <v>28.459999999999997</v>
      </c>
      <c r="B12">
        <v>1</v>
      </c>
      <c r="C12">
        <v>0</v>
      </c>
      <c r="D12">
        <f t="shared" ref="D12:D20" si="0">C12/B12</f>
        <v>0</v>
      </c>
      <c r="E12">
        <f t="shared" ref="E12:E20" si="1">1/(1+EXP(-$B$3*(A12-$B$4)))</f>
        <v>1.2441102897904376E-3</v>
      </c>
      <c r="F12">
        <f t="shared" ref="F12:F20" si="2">FACT(B12)/(FACT(B12-C12)*FACT(C12))</f>
        <v>1</v>
      </c>
      <c r="G12">
        <f>($C12*LN(E12/(1-E12))+($B12*LN(1-E12))+LN(F12))</f>
        <v>-1.2448848374788288E-3</v>
      </c>
      <c r="H12">
        <f t="shared" ref="H12:H20" si="3">POWER((E12-D12),2)</f>
        <v>1.5478104131624467E-6</v>
      </c>
    </row>
    <row r="13" spans="1:8" x14ac:dyDescent="0.3">
      <c r="A13" s="16">
        <v>35.089999999999996</v>
      </c>
      <c r="B13">
        <v>1</v>
      </c>
      <c r="C13">
        <v>0</v>
      </c>
      <c r="D13">
        <f t="shared" si="0"/>
        <v>0</v>
      </c>
      <c r="E13">
        <f t="shared" si="1"/>
        <v>4.7447604407912835E-3</v>
      </c>
      <c r="F13">
        <f t="shared" si="2"/>
        <v>1</v>
      </c>
      <c r="G13">
        <f t="shared" ref="G13:G20" si="4">($C13*LN(E13/(1-E13))+($B13*LN(1-E13))+LN(F13))</f>
        <v>-4.7560525496715463E-3</v>
      </c>
      <c r="H13">
        <f t="shared" si="3"/>
        <v>2.2512751640497893E-5</v>
      </c>
    </row>
    <row r="14" spans="1:8" x14ac:dyDescent="0.3">
      <c r="A14" s="16">
        <v>41.72</v>
      </c>
      <c r="B14">
        <v>4</v>
      </c>
      <c r="C14">
        <v>0</v>
      </c>
      <c r="D14">
        <f t="shared" si="0"/>
        <v>0</v>
      </c>
      <c r="E14">
        <f t="shared" si="1"/>
        <v>1.791874252708741E-2</v>
      </c>
      <c r="F14">
        <f t="shared" si="2"/>
        <v>1</v>
      </c>
      <c r="G14">
        <f t="shared" si="4"/>
        <v>-7.2324908534328713E-2</v>
      </c>
      <c r="H14">
        <f t="shared" si="3"/>
        <v>3.2108133375205087E-4</v>
      </c>
    </row>
    <row r="15" spans="1:8" x14ac:dyDescent="0.3">
      <c r="A15" s="16">
        <v>48.35</v>
      </c>
      <c r="B15">
        <v>25</v>
      </c>
      <c r="C15">
        <v>1</v>
      </c>
      <c r="D15">
        <f t="shared" si="0"/>
        <v>0.04</v>
      </c>
      <c r="E15">
        <f t="shared" si="1"/>
        <v>6.5271821210029113E-2</v>
      </c>
      <c r="F15">
        <f t="shared" si="2"/>
        <v>24.999999999999996</v>
      </c>
      <c r="G15">
        <f t="shared" si="4"/>
        <v>-1.1303072751063401</v>
      </c>
      <c r="H15">
        <f t="shared" si="3"/>
        <v>6.3866494727167727E-4</v>
      </c>
    </row>
    <row r="16" spans="1:8" x14ac:dyDescent="0.3">
      <c r="A16" s="16">
        <v>54.980000000000004</v>
      </c>
      <c r="B16">
        <v>39</v>
      </c>
      <c r="C16">
        <v>9</v>
      </c>
      <c r="D16">
        <f t="shared" si="0"/>
        <v>0.23076923076923078</v>
      </c>
      <c r="E16">
        <f t="shared" si="1"/>
        <v>0.21089085994807444</v>
      </c>
      <c r="F16">
        <f t="shared" si="2"/>
        <v>211915132</v>
      </c>
      <c r="G16">
        <f t="shared" si="4"/>
        <v>-1.9415535643039483</v>
      </c>
      <c r="H16">
        <f t="shared" si="3"/>
        <v>3.9514962650339991E-4</v>
      </c>
    </row>
    <row r="17" spans="1:8" x14ac:dyDescent="0.3">
      <c r="A17" s="16">
        <v>61.610000000000007</v>
      </c>
      <c r="B17">
        <v>54</v>
      </c>
      <c r="C17">
        <v>26</v>
      </c>
      <c r="D17">
        <f t="shared" si="0"/>
        <v>0.48148148148148145</v>
      </c>
      <c r="E17">
        <f t="shared" si="1"/>
        <v>0.50564165404950712</v>
      </c>
      <c r="F17">
        <f t="shared" si="2"/>
        <v>1877405874732107</v>
      </c>
      <c r="G17">
        <f t="shared" si="4"/>
        <v>-2.2872856301310094</v>
      </c>
      <c r="H17">
        <f t="shared" si="3"/>
        <v>5.8371393851677973E-4</v>
      </c>
    </row>
    <row r="18" spans="1:8" x14ac:dyDescent="0.3">
      <c r="A18" s="16">
        <v>68.240000000000009</v>
      </c>
      <c r="B18">
        <v>145</v>
      </c>
      <c r="C18">
        <v>119</v>
      </c>
      <c r="D18">
        <f t="shared" si="0"/>
        <v>0.82068965517241377</v>
      </c>
      <c r="E18">
        <f t="shared" si="1"/>
        <v>0.79652235318158637</v>
      </c>
      <c r="F18">
        <f t="shared" si="2"/>
        <v>3.5797471298556348E+28</v>
      </c>
      <c r="G18">
        <f t="shared" si="4"/>
        <v>-2.7220126569249317</v>
      </c>
      <c r="H18">
        <f t="shared" si="3"/>
        <v>5.8405848551584978E-4</v>
      </c>
    </row>
    <row r="19" spans="1:8" x14ac:dyDescent="0.3">
      <c r="A19" s="16">
        <v>74.87</v>
      </c>
      <c r="B19">
        <v>87</v>
      </c>
      <c r="C19">
        <v>79</v>
      </c>
      <c r="D19">
        <f t="shared" si="0"/>
        <v>0.90804597701149425</v>
      </c>
      <c r="E19">
        <f t="shared" si="1"/>
        <v>0.93742849511251425</v>
      </c>
      <c r="F19">
        <f t="shared" si="2"/>
        <v>58433559569.999947</v>
      </c>
      <c r="G19">
        <f t="shared" si="4"/>
        <v>-2.4849750502721264</v>
      </c>
      <c r="H19">
        <f t="shared" si="3"/>
        <v>8.6333236995676766E-4</v>
      </c>
    </row>
    <row r="20" spans="1:8" x14ac:dyDescent="0.3">
      <c r="A20" s="16">
        <v>81.5</v>
      </c>
      <c r="B20" s="33">
        <v>17</v>
      </c>
      <c r="C20">
        <v>17</v>
      </c>
      <c r="D20">
        <f t="shared" si="0"/>
        <v>1</v>
      </c>
      <c r="E20">
        <f t="shared" si="1"/>
        <v>0.98285848698309219</v>
      </c>
      <c r="F20">
        <f t="shared" si="2"/>
        <v>1</v>
      </c>
      <c r="G20">
        <f t="shared" si="4"/>
        <v>-0.29393220219681382</v>
      </c>
      <c r="H20">
        <f t="shared" si="3"/>
        <v>2.9383146850881972E-4</v>
      </c>
    </row>
    <row r="21" spans="1:8" x14ac:dyDescent="0.3">
      <c r="B21">
        <f>SUM(B11:B20)</f>
        <v>376</v>
      </c>
      <c r="C21">
        <f>SUM(C11:C20)</f>
        <v>251</v>
      </c>
      <c r="G21" s="26">
        <f>SUM(G11:G20)</f>
        <v>-10.939368494595657</v>
      </c>
      <c r="H21">
        <f>SUM(H11:H20)</f>
        <v>3.7039985979123867E-3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F574-4A7C-4949-BA50-1AA7B8D06202}">
  <sheetPr>
    <tabColor rgb="FFFFFF00"/>
  </sheetPr>
  <dimension ref="A2:H20"/>
  <sheetViews>
    <sheetView workbookViewId="0">
      <selection activeCell="A3" sqref="A3"/>
    </sheetView>
  </sheetViews>
  <sheetFormatPr baseColWidth="10" defaultRowHeight="13" x14ac:dyDescent="0.3"/>
  <cols>
    <col min="1" max="1" width="18.19921875" customWidth="1"/>
    <col min="2" max="2" width="23.09765625" customWidth="1"/>
    <col min="3" max="3" width="20.59765625" customWidth="1"/>
    <col min="4" max="4" width="24.5" customWidth="1"/>
    <col min="5" max="5" width="16.5" customWidth="1"/>
    <col min="6" max="6" width="15.69921875" customWidth="1"/>
  </cols>
  <sheetData>
    <row r="2" spans="1:8" x14ac:dyDescent="0.3">
      <c r="A2" s="64" t="s">
        <v>670</v>
      </c>
      <c r="B2" s="64"/>
    </row>
    <row r="3" spans="1:8" x14ac:dyDescent="0.3">
      <c r="A3" s="36" t="s">
        <v>671</v>
      </c>
      <c r="B3">
        <v>0.19603981642457566</v>
      </c>
    </row>
    <row r="4" spans="1:8" x14ac:dyDescent="0.3">
      <c r="A4" s="14" t="s">
        <v>633</v>
      </c>
      <c r="B4">
        <v>76.439792381907296</v>
      </c>
    </row>
    <row r="5" spans="1:8" x14ac:dyDescent="0.3">
      <c r="A5" s="14" t="s">
        <v>655</v>
      </c>
      <c r="B5">
        <f>-G20</f>
        <v>7.3377410790948279</v>
      </c>
    </row>
    <row r="6" spans="1:8" x14ac:dyDescent="0.3">
      <c r="A6" s="14" t="s">
        <v>652</v>
      </c>
      <c r="B6">
        <f>H20</f>
        <v>1.9668375844673776E-3</v>
      </c>
    </row>
    <row r="7" spans="1:8" x14ac:dyDescent="0.3">
      <c r="A7" s="30" t="s">
        <v>661</v>
      </c>
      <c r="B7">
        <f>(B5*2)+(B8*2)</f>
        <v>18.675482158189656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23.766666666666666</v>
      </c>
      <c r="B11">
        <v>5</v>
      </c>
      <c r="C11">
        <v>0</v>
      </c>
      <c r="D11">
        <f>C11/B11</f>
        <v>0</v>
      </c>
      <c r="E11">
        <f>1/(1+EXP(-$B$3*(A11-$B$4)))</f>
        <v>3.2767851378930246E-5</v>
      </c>
      <c r="F11">
        <f>FACT(B11)/(FACT(B11-C11)*FACT(C11))</f>
        <v>1</v>
      </c>
      <c r="G11">
        <f>($C11*LN(E11/(1-E11))+($B11*LN(1-E11))+LN(F11))</f>
        <v>-1.6384194128363341E-4</v>
      </c>
      <c r="H11">
        <f>POWER((E11-D11),2)</f>
        <v>1.0737320839916609E-9</v>
      </c>
    </row>
    <row r="12" spans="1:8" x14ac:dyDescent="0.3">
      <c r="A12" s="16">
        <v>34.333333333333329</v>
      </c>
      <c r="B12">
        <v>1</v>
      </c>
      <c r="C12">
        <v>0</v>
      </c>
      <c r="D12">
        <f t="shared" ref="D12:D19" si="0">C12/B12</f>
        <v>0</v>
      </c>
      <c r="E12">
        <f t="shared" ref="E12:E19" si="1">1/(1+EXP(-$B$3*(A12-$B$4)))</f>
        <v>2.6000685995904225E-4</v>
      </c>
      <c r="F12">
        <f t="shared" ref="F12:F19" si="2">FACT(B12)/(FACT(B12-C12)*FACT(C12))</f>
        <v>1</v>
      </c>
      <c r="G12">
        <f t="shared" ref="G12:G19" si="3">($C12*LN(E12/(1-E12))+($B12*LN(1-E12))+LN(F12))</f>
        <v>-2.6004066760296934E-4</v>
      </c>
      <c r="H12">
        <f t="shared" ref="H12:H19" si="4">POWER((E12-D12),2)</f>
        <v>6.7603567225761007E-8</v>
      </c>
    </row>
    <row r="13" spans="1:8" x14ac:dyDescent="0.3">
      <c r="A13" s="16">
        <v>44.899999999999991</v>
      </c>
      <c r="B13">
        <v>13</v>
      </c>
      <c r="C13">
        <v>0</v>
      </c>
      <c r="D13">
        <f t="shared" si="0"/>
        <v>0</v>
      </c>
      <c r="E13">
        <f t="shared" si="1"/>
        <v>2.0598603424809461E-3</v>
      </c>
      <c r="F13">
        <f t="shared" si="2"/>
        <v>1</v>
      </c>
      <c r="G13">
        <f t="shared" si="3"/>
        <v>-2.6805802044456761E-2</v>
      </c>
      <c r="H13">
        <f t="shared" si="4"/>
        <v>4.2430246305257208E-6</v>
      </c>
    </row>
    <row r="14" spans="1:8" x14ac:dyDescent="0.3">
      <c r="A14" s="16">
        <v>55.466666666666654</v>
      </c>
      <c r="B14">
        <v>19</v>
      </c>
      <c r="C14">
        <v>1</v>
      </c>
      <c r="D14">
        <f t="shared" si="0"/>
        <v>5.2631578947368418E-2</v>
      </c>
      <c r="E14">
        <f t="shared" si="1"/>
        <v>1.6118025312808877E-2</v>
      </c>
      <c r="F14">
        <f t="shared" si="2"/>
        <v>19</v>
      </c>
      <c r="G14">
        <f t="shared" si="3"/>
        <v>-1.4758660732990556</v>
      </c>
      <c r="H14">
        <f t="shared" si="4"/>
        <v>1.3332395990238563E-3</v>
      </c>
    </row>
    <row r="15" spans="1:8" x14ac:dyDescent="0.3">
      <c r="A15" s="16">
        <v>66.033333333333317</v>
      </c>
      <c r="B15">
        <v>31</v>
      </c>
      <c r="C15">
        <v>3</v>
      </c>
      <c r="D15">
        <f t="shared" si="0"/>
        <v>9.6774193548387094E-2</v>
      </c>
      <c r="E15">
        <f t="shared" si="1"/>
        <v>0.11505855344965162</v>
      </c>
      <c r="F15">
        <f t="shared" si="2"/>
        <v>4495.0000000000009</v>
      </c>
      <c r="G15">
        <f t="shared" si="3"/>
        <v>-1.4987677634747278</v>
      </c>
      <c r="H15">
        <f t="shared" si="4"/>
        <v>3.3431781699896993E-4</v>
      </c>
    </row>
    <row r="16" spans="1:8" x14ac:dyDescent="0.3">
      <c r="A16" s="16">
        <v>76.59999999999998</v>
      </c>
      <c r="B16">
        <v>60</v>
      </c>
      <c r="C16">
        <v>30</v>
      </c>
      <c r="D16">
        <f t="shared" si="0"/>
        <v>0.5</v>
      </c>
      <c r="E16">
        <f t="shared" si="1"/>
        <v>0.50785112265577337</v>
      </c>
      <c r="F16">
        <f t="shared" si="2"/>
        <v>1.1826458156486139E+17</v>
      </c>
      <c r="G16">
        <f t="shared" si="3"/>
        <v>-2.2845278348513531</v>
      </c>
      <c r="H16">
        <f t="shared" si="4"/>
        <v>6.1640126955997865E-5</v>
      </c>
    </row>
    <row r="17" spans="1:8" x14ac:dyDescent="0.3">
      <c r="A17" s="16">
        <v>87.166666666666643</v>
      </c>
      <c r="B17">
        <v>46</v>
      </c>
      <c r="C17">
        <v>41</v>
      </c>
      <c r="D17">
        <f t="shared" si="0"/>
        <v>0.89130434782608692</v>
      </c>
      <c r="E17">
        <f t="shared" si="1"/>
        <v>0.89118418738834282</v>
      </c>
      <c r="F17">
        <f t="shared" si="2"/>
        <v>1370754.0000000005</v>
      </c>
      <c r="G17">
        <f t="shared" si="3"/>
        <v>-1.6829918556400543</v>
      </c>
      <c r="H17">
        <f t="shared" si="4"/>
        <v>1.4438530798853495E-8</v>
      </c>
    </row>
    <row r="18" spans="1:8" x14ac:dyDescent="0.3">
      <c r="A18" s="16">
        <v>97.733333333333306</v>
      </c>
      <c r="B18">
        <v>24</v>
      </c>
      <c r="C18">
        <v>24</v>
      </c>
      <c r="D18">
        <f t="shared" si="0"/>
        <v>1</v>
      </c>
      <c r="E18">
        <f t="shared" si="1"/>
        <v>0.98484840410936614</v>
      </c>
      <c r="F18">
        <f t="shared" si="2"/>
        <v>1</v>
      </c>
      <c r="G18">
        <f t="shared" si="3"/>
        <v>-0.36642129868920392</v>
      </c>
      <c r="H18">
        <f t="shared" si="4"/>
        <v>2.2957085803307294E-4</v>
      </c>
    </row>
    <row r="19" spans="1:8" x14ac:dyDescent="0.3">
      <c r="A19" s="32">
        <v>108.29999999999997</v>
      </c>
      <c r="B19" s="33">
        <v>1</v>
      </c>
      <c r="C19">
        <v>1</v>
      </c>
      <c r="D19">
        <f t="shared" si="0"/>
        <v>1</v>
      </c>
      <c r="E19">
        <f t="shared" si="1"/>
        <v>0.99806530545179706</v>
      </c>
      <c r="F19">
        <f t="shared" si="2"/>
        <v>1</v>
      </c>
      <c r="G19">
        <f t="shared" si="3"/>
        <v>-1.9365684870900068E-3</v>
      </c>
      <c r="H19">
        <f t="shared" si="4"/>
        <v>3.7430429948461862E-6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-7.3377410790948279</v>
      </c>
      <c r="H20">
        <f>SUM(H11:H19)</f>
        <v>1.9668375844673776E-3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1C4A-2A21-41BA-BFCE-45B6F07AC849}">
  <sheetPr>
    <tabColor rgb="FFFFFF00"/>
  </sheetPr>
  <dimension ref="A2:H21"/>
  <sheetViews>
    <sheetView workbookViewId="0">
      <selection activeCell="A3" sqref="A3"/>
    </sheetView>
  </sheetViews>
  <sheetFormatPr baseColWidth="10" defaultRowHeight="13" x14ac:dyDescent="0.3"/>
  <cols>
    <col min="2" max="2" width="17.796875" customWidth="1"/>
    <col min="3" max="3" width="15.296875" customWidth="1"/>
    <col min="4" max="4" width="19.796875" customWidth="1"/>
    <col min="5" max="5" width="11.8984375" bestFit="1" customWidth="1"/>
  </cols>
  <sheetData>
    <row r="2" spans="1:8" x14ac:dyDescent="0.3">
      <c r="A2" s="64" t="s">
        <v>670</v>
      </c>
      <c r="B2" s="64"/>
    </row>
    <row r="3" spans="1:8" x14ac:dyDescent="0.3">
      <c r="A3" s="36" t="s">
        <v>671</v>
      </c>
      <c r="B3">
        <v>0.38460254734012611</v>
      </c>
    </row>
    <row r="4" spans="1:8" x14ac:dyDescent="0.3">
      <c r="A4" s="14" t="s">
        <v>633</v>
      </c>
      <c r="B4">
        <v>42.923070452950284</v>
      </c>
    </row>
    <row r="5" spans="1:8" x14ac:dyDescent="0.3">
      <c r="A5" s="14" t="s">
        <v>655</v>
      </c>
      <c r="B5">
        <f>-G21</f>
        <v>10.955495536514523</v>
      </c>
    </row>
    <row r="6" spans="1:8" x14ac:dyDescent="0.3">
      <c r="A6" s="14" t="s">
        <v>652</v>
      </c>
      <c r="B6">
        <f>H21</f>
        <v>4.8064987409604113E-3</v>
      </c>
    </row>
    <row r="7" spans="1:8" x14ac:dyDescent="0.3">
      <c r="A7" s="30" t="s">
        <v>661</v>
      </c>
      <c r="B7">
        <f>(B5*2)+(B8*2)</f>
        <v>25.910991073029045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13.734000000000002</v>
      </c>
      <c r="B11">
        <v>3</v>
      </c>
      <c r="C11">
        <v>0</v>
      </c>
      <c r="D11" s="31">
        <f t="shared" ref="D11:D20" si="0">C11/B11</f>
        <v>0</v>
      </c>
      <c r="E11">
        <f>1/(1+EXP(-$B$3*(A11-$B$4)))</f>
        <v>1.3320529101409422E-5</v>
      </c>
      <c r="F11">
        <f>FACT(B11)/(FACT(B11-C11)*FACT(C11))</f>
        <v>1</v>
      </c>
      <c r="G11">
        <f>($C11*LN(E11/(1-E11))+($B11*LN(1-E11))+LN(F11))</f>
        <v>-3.9961853461344924E-5</v>
      </c>
      <c r="H11">
        <f>POWER((E11-D11),2)</f>
        <v>1.7743649554149531E-10</v>
      </c>
    </row>
    <row r="12" spans="1:8" x14ac:dyDescent="0.3">
      <c r="A12" s="16">
        <v>18.508000000000003</v>
      </c>
      <c r="B12">
        <v>1</v>
      </c>
      <c r="C12">
        <v>0</v>
      </c>
      <c r="D12" s="31">
        <f t="shared" si="0"/>
        <v>0</v>
      </c>
      <c r="E12">
        <f t="shared" ref="E12:E20" si="1">1/(1+EXP(-$B$3*(A12-$B$4)))</f>
        <v>8.3540264441927357E-5</v>
      </c>
      <c r="F12">
        <f t="shared" ref="F12:F20" si="2">FACT(B12)/(FACT(B12-C12)*FACT(C12))</f>
        <v>1</v>
      </c>
      <c r="G12">
        <f t="shared" ref="G12:G20" si="3">($C12*LN(E12/(1-E12))+($B12*LN(1-E12))+LN(F12))</f>
        <v>-8.3543754124151386E-5</v>
      </c>
      <c r="H12">
        <f t="shared" ref="H12:H20" si="4">POWER((E12-D12),2)</f>
        <v>6.9789757830271527E-9</v>
      </c>
    </row>
    <row r="13" spans="1:8" x14ac:dyDescent="0.3">
      <c r="A13" s="16">
        <v>23.282000000000004</v>
      </c>
      <c r="B13">
        <v>0</v>
      </c>
      <c r="C13">
        <v>0</v>
      </c>
      <c r="D13" s="31">
        <v>0</v>
      </c>
      <c r="E13">
        <f t="shared" si="1"/>
        <v>5.2373244858941611E-4</v>
      </c>
      <c r="F13">
        <f t="shared" si="2"/>
        <v>1</v>
      </c>
      <c r="G13">
        <f t="shared" si="3"/>
        <v>0</v>
      </c>
      <c r="H13">
        <f t="shared" si="4"/>
        <v>2.7429567770546537E-7</v>
      </c>
    </row>
    <row r="14" spans="1:8" x14ac:dyDescent="0.3">
      <c r="A14" s="16">
        <v>28.056000000000004</v>
      </c>
      <c r="B14">
        <v>3</v>
      </c>
      <c r="C14">
        <v>0</v>
      </c>
      <c r="D14" s="31">
        <f t="shared" si="0"/>
        <v>0</v>
      </c>
      <c r="E14">
        <f t="shared" si="1"/>
        <v>3.2757961473745345E-3</v>
      </c>
      <c r="F14">
        <f t="shared" si="2"/>
        <v>1</v>
      </c>
      <c r="G14">
        <f t="shared" si="3"/>
        <v>-9.8435199413580126E-3</v>
      </c>
      <c r="H14">
        <f t="shared" si="4"/>
        <v>1.0730840399153843E-5</v>
      </c>
    </row>
    <row r="15" spans="1:8" x14ac:dyDescent="0.3">
      <c r="A15" s="16">
        <v>32.830000000000005</v>
      </c>
      <c r="B15">
        <v>35</v>
      </c>
      <c r="C15">
        <v>1</v>
      </c>
      <c r="D15" s="31">
        <f t="shared" si="0"/>
        <v>2.8571428571428571E-2</v>
      </c>
      <c r="E15">
        <f t="shared" si="1"/>
        <v>2.0196937582064315E-2</v>
      </c>
      <c r="F15">
        <f t="shared" si="2"/>
        <v>35.000000000000007</v>
      </c>
      <c r="G15">
        <f t="shared" si="3"/>
        <v>-1.0406014931932557</v>
      </c>
      <c r="H15">
        <f t="shared" si="4"/>
        <v>7.0132099330943101E-5</v>
      </c>
    </row>
    <row r="16" spans="1:8" x14ac:dyDescent="0.3">
      <c r="A16" s="16">
        <v>37.604000000000006</v>
      </c>
      <c r="B16">
        <v>26</v>
      </c>
      <c r="C16">
        <v>2</v>
      </c>
      <c r="D16" s="31">
        <f t="shared" si="0"/>
        <v>7.6923076923076927E-2</v>
      </c>
      <c r="E16">
        <f t="shared" si="1"/>
        <v>0.11448475070414665</v>
      </c>
      <c r="F16">
        <f t="shared" si="2"/>
        <v>325.00000000000006</v>
      </c>
      <c r="G16">
        <f t="shared" si="3"/>
        <v>-1.4688565296920366</v>
      </c>
      <c r="H16">
        <f t="shared" si="4"/>
        <v>1.4108793372355009E-3</v>
      </c>
    </row>
    <row r="17" spans="1:8" x14ac:dyDescent="0.3">
      <c r="A17" s="16">
        <v>42.378000000000007</v>
      </c>
      <c r="B17">
        <v>55</v>
      </c>
      <c r="C17">
        <v>23</v>
      </c>
      <c r="D17" s="31">
        <f t="shared" si="0"/>
        <v>0.41818181818181815</v>
      </c>
      <c r="E17">
        <f t="shared" si="1"/>
        <v>0.4477822236154223</v>
      </c>
      <c r="F17">
        <f t="shared" si="2"/>
        <v>1866442158555973.3</v>
      </c>
      <c r="G17">
        <f t="shared" si="3"/>
        <v>-2.3185090671954924</v>
      </c>
      <c r="H17">
        <f t="shared" si="4"/>
        <v>8.7618400183374205E-4</v>
      </c>
    </row>
    <row r="18" spans="1:8" x14ac:dyDescent="0.3">
      <c r="A18" s="16">
        <v>47.152000000000008</v>
      </c>
      <c r="B18">
        <v>171</v>
      </c>
      <c r="C18">
        <v>148</v>
      </c>
      <c r="D18" s="31">
        <f t="shared" si="0"/>
        <v>0.86549707602339176</v>
      </c>
      <c r="E18">
        <f t="shared" si="1"/>
        <v>0.83568371551590825</v>
      </c>
      <c r="F18" s="48">
        <v>1.87787981283066E+28</v>
      </c>
      <c r="G18">
        <f t="shared" si="3"/>
        <v>-3.001353433234911</v>
      </c>
      <c r="H18">
        <f t="shared" si="4"/>
        <v>8.8883646474917746E-4</v>
      </c>
    </row>
    <row r="19" spans="1:8" x14ac:dyDescent="0.3">
      <c r="A19" s="16">
        <v>51.926000000000009</v>
      </c>
      <c r="B19">
        <v>72</v>
      </c>
      <c r="C19">
        <v>67</v>
      </c>
      <c r="D19" s="31">
        <f t="shared" si="0"/>
        <v>0.93055555555555558</v>
      </c>
      <c r="E19">
        <f t="shared" si="1"/>
        <v>0.96960320180942861</v>
      </c>
      <c r="F19">
        <f t="shared" si="2"/>
        <v>13991543.999999998</v>
      </c>
      <c r="G19">
        <f t="shared" si="3"/>
        <v>-3.0813065077939079</v>
      </c>
      <c r="H19">
        <f t="shared" si="4"/>
        <v>1.5247186779676041E-3</v>
      </c>
    </row>
    <row r="20" spans="1:8" ht="13.5" thickBot="1" x14ac:dyDescent="0.35">
      <c r="A20" s="16">
        <v>56.70000000000001</v>
      </c>
      <c r="B20" s="33">
        <v>7</v>
      </c>
      <c r="C20" s="49">
        <v>7</v>
      </c>
      <c r="D20" s="31">
        <f t="shared" si="0"/>
        <v>1</v>
      </c>
      <c r="E20">
        <f t="shared" si="1"/>
        <v>0.99502648340162558</v>
      </c>
      <c r="F20">
        <f t="shared" si="2"/>
        <v>1</v>
      </c>
      <c r="G20">
        <f t="shared" si="3"/>
        <v>-3.4901479855975026E-2</v>
      </c>
      <c r="H20">
        <f t="shared" si="4"/>
        <v>2.4735867354305829E-5</v>
      </c>
    </row>
    <row r="21" spans="1:8" x14ac:dyDescent="0.3">
      <c r="B21">
        <f>SUM(B11:B20)</f>
        <v>373</v>
      </c>
      <c r="C21">
        <f>SUM(C11:C20)</f>
        <v>248</v>
      </c>
      <c r="G21" s="26">
        <f>SUM(G11:G20)</f>
        <v>-10.955495536514523</v>
      </c>
      <c r="H21">
        <f>SUM(H11:H20)</f>
        <v>4.8064987409604113E-3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37F1-8DF0-4C95-8DA1-E9CBD576FCE1}">
  <sheetPr>
    <tabColor rgb="FFFFFF00"/>
  </sheetPr>
  <dimension ref="A2:H20"/>
  <sheetViews>
    <sheetView zoomScale="69" zoomScaleNormal="69" workbookViewId="0">
      <selection activeCell="A2" sqref="A2:B2"/>
    </sheetView>
  </sheetViews>
  <sheetFormatPr baseColWidth="10" defaultRowHeight="13" x14ac:dyDescent="0.3"/>
  <cols>
    <col min="2" max="2" width="19.3984375" customWidth="1"/>
    <col min="3" max="3" width="16.59765625" customWidth="1"/>
    <col min="4" max="4" width="21.296875" customWidth="1"/>
    <col min="5" max="5" width="18.796875" customWidth="1"/>
    <col min="6" max="6" width="17.09765625" customWidth="1"/>
    <col min="7" max="7" width="16" customWidth="1"/>
    <col min="8" max="8" width="16.3984375" customWidth="1"/>
  </cols>
  <sheetData>
    <row r="2" spans="1:8" x14ac:dyDescent="0.3">
      <c r="A2" s="64" t="s">
        <v>670</v>
      </c>
      <c r="B2" s="64"/>
    </row>
    <row r="3" spans="1:8" x14ac:dyDescent="0.3">
      <c r="A3" s="36" t="s">
        <v>671</v>
      </c>
      <c r="B3">
        <v>0.29682316484402838</v>
      </c>
    </row>
    <row r="4" spans="1:8" x14ac:dyDescent="0.3">
      <c r="A4" s="14" t="s">
        <v>633</v>
      </c>
      <c r="B4" s="15">
        <v>53.123784387427456</v>
      </c>
    </row>
    <row r="5" spans="1:8" x14ac:dyDescent="0.3">
      <c r="A5" s="14" t="s">
        <v>655</v>
      </c>
      <c r="B5">
        <f>-G20</f>
        <v>6.4974629329522386</v>
      </c>
    </row>
    <row r="6" spans="1:8" x14ac:dyDescent="0.3">
      <c r="A6" s="14" t="s">
        <v>652</v>
      </c>
      <c r="B6">
        <f>H20</f>
        <v>4.4715617675517554E-3</v>
      </c>
    </row>
    <row r="7" spans="1:8" x14ac:dyDescent="0.3">
      <c r="A7" s="30" t="s">
        <v>661</v>
      </c>
      <c r="B7">
        <f>(B5*2)+(B8*2)</f>
        <v>16.994925865904477</v>
      </c>
    </row>
    <row r="8" spans="1:8" x14ac:dyDescent="0.3">
      <c r="A8" s="30" t="s">
        <v>662</v>
      </c>
      <c r="B8">
        <v>2</v>
      </c>
    </row>
    <row r="10" spans="1:8" x14ac:dyDescent="0.3">
      <c r="A10" s="30" t="s">
        <v>636</v>
      </c>
      <c r="B10" s="30" t="s">
        <v>637</v>
      </c>
      <c r="C10" s="30" t="s">
        <v>638</v>
      </c>
      <c r="D10" s="30" t="s">
        <v>642</v>
      </c>
      <c r="E10" s="30" t="s">
        <v>643</v>
      </c>
      <c r="F10" s="30" t="s">
        <v>639</v>
      </c>
      <c r="G10" s="30" t="s">
        <v>640</v>
      </c>
      <c r="H10" s="30" t="s">
        <v>641</v>
      </c>
    </row>
    <row r="11" spans="1:8" x14ac:dyDescent="0.3">
      <c r="A11" s="16">
        <v>17.400000000000002</v>
      </c>
      <c r="B11">
        <v>5</v>
      </c>
      <c r="C11">
        <v>0</v>
      </c>
      <c r="D11">
        <f>C11/B11</f>
        <v>0</v>
      </c>
      <c r="E11">
        <f>1/(1+EXP(-$B$3*(A11-$B$4)))</f>
        <v>2.4824696663845832E-5</v>
      </c>
      <c r="F11">
        <f>FACT(B11)/(FACT(B11-C11)*FACT(C11))</f>
        <v>1</v>
      </c>
      <c r="G11">
        <f>($C11*LN(E11/(1-E11))+($B11*LN(1-E11))+LN(F11))</f>
        <v>-1.2412502400876979E-4</v>
      </c>
      <c r="H11">
        <f>POWER((E11-D11),2)</f>
        <v>6.1626556445195839E-10</v>
      </c>
    </row>
    <row r="12" spans="1:8" x14ac:dyDescent="0.3">
      <c r="A12" s="16">
        <v>26.000000000000004</v>
      </c>
      <c r="B12">
        <v>2</v>
      </c>
      <c r="C12">
        <v>0</v>
      </c>
      <c r="D12">
        <f t="shared" ref="D12:D19" si="0">C12/B12</f>
        <v>0</v>
      </c>
      <c r="E12">
        <f>1/(1+EXP(-$B$3*(A12-$B$4)))</f>
        <v>3.1869173608504113E-4</v>
      </c>
      <c r="F12">
        <f t="shared" ref="F12:F19" si="1">FACT(B12)/(FACT(B12-C12)*FACT(C12))</f>
        <v>1</v>
      </c>
      <c r="G12">
        <f t="shared" ref="G12:G19" si="2">($C12*LN(E12/(1-E12))+($B12*LN(1-E12))+LN(F12))</f>
        <v>-6.3748505817631937E-4</v>
      </c>
      <c r="H12">
        <f t="shared" ref="H12:H19" si="3">POWER((E12-D12),2)</f>
        <v>1.0156442264889751E-7</v>
      </c>
    </row>
    <row r="13" spans="1:8" x14ac:dyDescent="0.3">
      <c r="A13" s="16">
        <v>34.600000000000009</v>
      </c>
      <c r="B13">
        <v>26</v>
      </c>
      <c r="C13">
        <v>0</v>
      </c>
      <c r="D13">
        <f t="shared" si="0"/>
        <v>0</v>
      </c>
      <c r="E13">
        <f t="shared" ref="E13:E19" si="4">1/(1+EXP(-$B$3*(A13-$B$4)))</f>
        <v>4.0770820803805279E-3</v>
      </c>
      <c r="F13">
        <f t="shared" si="1"/>
        <v>1</v>
      </c>
      <c r="G13">
        <f t="shared" si="2"/>
        <v>-0.10622081702427552</v>
      </c>
      <c r="H13">
        <f t="shared" si="3"/>
        <v>1.6622598290160013E-5</v>
      </c>
    </row>
    <row r="14" spans="1:8" x14ac:dyDescent="0.3">
      <c r="A14" s="16">
        <v>43.20000000000001</v>
      </c>
      <c r="B14">
        <v>31</v>
      </c>
      <c r="C14">
        <v>3</v>
      </c>
      <c r="D14">
        <f t="shared" si="0"/>
        <v>9.6774193548387094E-2</v>
      </c>
      <c r="E14">
        <f t="shared" si="4"/>
        <v>4.9944449034541989E-2</v>
      </c>
      <c r="F14">
        <f t="shared" si="1"/>
        <v>4495.0000000000009</v>
      </c>
      <c r="G14">
        <f t="shared" si="2"/>
        <v>-2.0143857837082546</v>
      </c>
      <c r="H14">
        <f t="shared" si="3"/>
        <v>2.1930249712320059E-3</v>
      </c>
    </row>
    <row r="15" spans="1:8" x14ac:dyDescent="0.3">
      <c r="A15" s="16">
        <v>51.800000000000011</v>
      </c>
      <c r="B15">
        <v>53</v>
      </c>
      <c r="C15">
        <v>19</v>
      </c>
      <c r="D15">
        <f t="shared" si="0"/>
        <v>0.35849056603773582</v>
      </c>
      <c r="E15">
        <f t="shared" si="4"/>
        <v>0.40301219321147985</v>
      </c>
      <c r="F15">
        <f t="shared" si="1"/>
        <v>119032357903549.97</v>
      </c>
      <c r="G15">
        <f t="shared" si="2"/>
        <v>-2.3957563369764614</v>
      </c>
      <c r="H15">
        <f t="shared" si="3"/>
        <v>1.9821752861978624E-3</v>
      </c>
    </row>
    <row r="16" spans="1:8" x14ac:dyDescent="0.3">
      <c r="A16" s="16">
        <v>60.400000000000013</v>
      </c>
      <c r="B16">
        <v>56</v>
      </c>
      <c r="C16">
        <v>51</v>
      </c>
      <c r="D16">
        <f t="shared" si="0"/>
        <v>0.9107142857142857</v>
      </c>
      <c r="E16">
        <f t="shared" si="4"/>
        <v>0.89657630842010361</v>
      </c>
      <c r="F16">
        <f t="shared" si="1"/>
        <v>3819816.0000000005</v>
      </c>
      <c r="G16">
        <f t="shared" si="2"/>
        <v>-1.7566587181792741</v>
      </c>
      <c r="H16">
        <f t="shared" si="3"/>
        <v>1.9988240197080836E-4</v>
      </c>
    </row>
    <row r="17" spans="1:8" x14ac:dyDescent="0.3">
      <c r="A17" s="16">
        <v>69.000000000000014</v>
      </c>
      <c r="B17">
        <v>25</v>
      </c>
      <c r="C17">
        <v>25</v>
      </c>
      <c r="D17">
        <f t="shared" si="0"/>
        <v>1</v>
      </c>
      <c r="E17">
        <f t="shared" si="4"/>
        <v>0.99109703928312931</v>
      </c>
      <c r="F17">
        <f t="shared" si="1"/>
        <v>1</v>
      </c>
      <c r="G17">
        <f t="shared" si="2"/>
        <v>-0.22357072194526495</v>
      </c>
      <c r="H17">
        <f t="shared" si="3"/>
        <v>7.9262709526142661E-5</v>
      </c>
    </row>
    <row r="18" spans="1:8" x14ac:dyDescent="0.3">
      <c r="A18" s="16">
        <v>77.600000000000023</v>
      </c>
      <c r="B18">
        <v>0</v>
      </c>
      <c r="C18">
        <v>0</v>
      </c>
      <c r="D18">
        <v>1</v>
      </c>
      <c r="E18">
        <f t="shared" si="4"/>
        <v>0.9993009631247598</v>
      </c>
      <c r="F18">
        <f t="shared" si="1"/>
        <v>1</v>
      </c>
      <c r="G18">
        <f t="shared" si="2"/>
        <v>0</v>
      </c>
      <c r="H18">
        <f t="shared" si="3"/>
        <v>4.8865255294558271E-7</v>
      </c>
    </row>
    <row r="19" spans="1:8" x14ac:dyDescent="0.3">
      <c r="A19" s="32">
        <v>86.200000000000017</v>
      </c>
      <c r="B19" s="33">
        <v>2</v>
      </c>
      <c r="C19">
        <v>2</v>
      </c>
      <c r="D19">
        <f t="shared" si="0"/>
        <v>1</v>
      </c>
      <c r="E19">
        <f t="shared" si="4"/>
        <v>0.99994552896533995</v>
      </c>
      <c r="F19">
        <f t="shared" si="1"/>
        <v>1</v>
      </c>
      <c r="G19">
        <f t="shared" si="2"/>
        <v>-1.0894503652281173E-4</v>
      </c>
      <c r="H19">
        <f t="shared" si="3"/>
        <v>2.9670936169366937E-9</v>
      </c>
    </row>
    <row r="20" spans="1:8" x14ac:dyDescent="0.3">
      <c r="B20">
        <f>SUM(B11:B19)</f>
        <v>200</v>
      </c>
      <c r="C20">
        <f>SUM(C11:C19)</f>
        <v>100</v>
      </c>
      <c r="G20" s="26">
        <f>SUM(G11:G19)</f>
        <v>-6.4974629329522386</v>
      </c>
      <c r="H20">
        <f>SUM(H11:H19)</f>
        <v>4.4715617675517554E-3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3DD0-03F0-4422-A110-F4AC593BB819}">
  <dimension ref="A3:G12"/>
  <sheetViews>
    <sheetView workbookViewId="0">
      <selection activeCell="A13" sqref="A13"/>
    </sheetView>
  </sheetViews>
  <sheetFormatPr baseColWidth="10" defaultRowHeight="13" x14ac:dyDescent="0.3"/>
  <sheetData>
    <row r="3" spans="1:7" x14ac:dyDescent="0.3">
      <c r="A3" s="14" t="s">
        <v>580</v>
      </c>
      <c r="E3" s="14" t="s">
        <v>526</v>
      </c>
    </row>
    <row r="4" spans="1:7" x14ac:dyDescent="0.3">
      <c r="A4">
        <v>241</v>
      </c>
      <c r="B4" s="14" t="s">
        <v>551</v>
      </c>
    </row>
    <row r="5" spans="1:7" x14ac:dyDescent="0.3">
      <c r="A5">
        <v>255</v>
      </c>
      <c r="B5" s="14" t="s">
        <v>551</v>
      </c>
      <c r="E5" s="14" t="s">
        <v>527</v>
      </c>
      <c r="F5" s="14" t="s">
        <v>528</v>
      </c>
    </row>
    <row r="6" spans="1:7" x14ac:dyDescent="0.3">
      <c r="A6">
        <v>259</v>
      </c>
      <c r="B6" s="14" t="s">
        <v>551</v>
      </c>
      <c r="E6" s="14" t="s">
        <v>529</v>
      </c>
      <c r="G6" s="14" t="s">
        <v>530</v>
      </c>
    </row>
    <row r="7" spans="1:7" x14ac:dyDescent="0.3">
      <c r="A7">
        <v>271</v>
      </c>
      <c r="B7" s="14" t="s">
        <v>551</v>
      </c>
    </row>
    <row r="8" spans="1:7" x14ac:dyDescent="0.3">
      <c r="A8">
        <v>272</v>
      </c>
      <c r="B8" s="14" t="s">
        <v>551</v>
      </c>
    </row>
    <row r="9" spans="1:7" x14ac:dyDescent="0.3">
      <c r="A9">
        <v>483</v>
      </c>
      <c r="B9" s="14" t="s">
        <v>550</v>
      </c>
    </row>
    <row r="12" spans="1:7" x14ac:dyDescent="0.3">
      <c r="A1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Todos</vt:lpstr>
      <vt:lpstr>K-S con LT</vt:lpstr>
      <vt:lpstr>K-S con Precaudal</vt:lpstr>
      <vt:lpstr>Machos</vt:lpstr>
      <vt:lpstr>Hembras</vt:lpstr>
      <vt:lpstr>GOMPERTZ L50 Machos LT</vt:lpstr>
      <vt:lpstr>GOMPERTZ L50 Hembras LT</vt:lpstr>
      <vt:lpstr>GOMPERTZ L50 Machos Precaudal</vt:lpstr>
      <vt:lpstr>GOMPERTZ L50 Hembras Precaudal</vt:lpstr>
      <vt:lpstr>RICHARDS L50 Machos LT</vt:lpstr>
      <vt:lpstr>RICHARDS L50 Hembras LT</vt:lpstr>
      <vt:lpstr>RICHARDS L50 Machos Precaudal</vt:lpstr>
      <vt:lpstr>RICHARDS L50 Hembras Precaudal</vt:lpstr>
      <vt:lpstr>LYSACK L50 Machos LT</vt:lpstr>
      <vt:lpstr>LYSACK L50 Hembras LT</vt:lpstr>
      <vt:lpstr>LYSACK L50 Machos Precaudal</vt:lpstr>
      <vt:lpstr>LYSACK L50 Hembras Precaudal</vt:lpstr>
      <vt:lpstr>White etal. L50 Machos LT</vt:lpstr>
      <vt:lpstr>White etal. L50 Hembras LT</vt:lpstr>
      <vt:lpstr>White etal. L50 Machos Precauda</vt:lpstr>
      <vt:lpstr>White etal. L50 Hembras Precaud</vt:lpstr>
      <vt:lpstr>BG L50 Machos LT</vt:lpstr>
      <vt:lpstr>BG L50 Hembras LT</vt:lpstr>
      <vt:lpstr>BG L50 Machos Precaudal</vt:lpstr>
      <vt:lpstr>BG L50 Hembras Precaudal</vt:lpstr>
      <vt:lpstr>Bakha L50 Machos LT</vt:lpstr>
      <vt:lpstr>Bakha L50 Hembras LT</vt:lpstr>
      <vt:lpstr>Bakha L50 Machos Precaudal</vt:lpstr>
      <vt:lpstr>Bakha L50 Hembras Precaudal</vt:lpstr>
      <vt:lpstr>King L50 Machos LT</vt:lpstr>
      <vt:lpstr>King L50 Hembras LT</vt:lpstr>
      <vt:lpstr>King L50 Machos Precaudal</vt:lpstr>
      <vt:lpstr>King L50 Hembras Precaudal</vt:lpstr>
      <vt:lpstr>CCMs Observaciones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Guzman</dc:creator>
  <cp:lastModifiedBy>Cristian Zamorano</cp:lastModifiedBy>
  <dcterms:created xsi:type="dcterms:W3CDTF">2024-09-11T12:00:04Z</dcterms:created>
  <dcterms:modified xsi:type="dcterms:W3CDTF">2025-01-12T19:27:28Z</dcterms:modified>
</cp:coreProperties>
</file>